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Monthly Model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<sst xmlns="http://schemas.openxmlformats.org/spreadsheetml/2006/main" count="84" uniqueCount="84">
  <si>
    <t xml:space="preserve">V-Tempe — Financial Model Assumptions</t>
  </si>
  <si>
    <t xml:space="preserve">Edit blue cells (yellow fill) to change the scenario. All other sheets recalculate automatically.</t>
  </si>
  <si>
    <t xml:space="preserve">GROWTH &amp; CONVERSION</t>
  </si>
  <si>
    <t xml:space="preserve">Month 1 new installs</t>
  </si>
  <si>
    <t xml:space="preserve">Starting monthly new-install volume (organic/ASO, no paid marketing assumed)</t>
  </si>
  <si>
    <t xml:space="preserve">Month-over-month install growth</t>
  </si>
  <si>
    <t xml:space="preserve">Organic growth rate of new installs, compounding monthly</t>
  </si>
  <si>
    <t xml:space="preserve">Trial-to-paid conversion rate</t>
  </si>
  <si>
    <t xml:space="preserve">Share of new installs that convert to a paid subscription (assumes free trial, no perma-free tier)</t>
  </si>
  <si>
    <t xml:space="preserve">Monthly churn (paying subscribers)</t>
  </si>
  <si>
    <t xml:space="preserve">Typical range for consumer mobile subscriptions is 5-10%/month</t>
  </si>
  <si>
    <t xml:space="preserve">PRICING</t>
  </si>
  <si>
    <t xml:space="preserve">Monthly plan price</t>
  </si>
  <si>
    <t xml:space="preserve">Price shown to user, before store commission</t>
  </si>
  <si>
    <t xml:space="preserve">Annual plan price</t>
  </si>
  <si>
    <t xml:space="preserve">Equivalent to $3.25/mo if paid annually</t>
  </si>
  <si>
    <t xml:space="preserve">Share of subscribers on annual plan</t>
  </si>
  <si>
    <t xml:space="preserve">Rest are on the monthly plan</t>
  </si>
  <si>
    <t xml:space="preserve">COST OF SERVICE (COGS)</t>
  </si>
  <si>
    <t xml:space="preserve">LLM cost per active user / month</t>
  </si>
  <si>
    <t xml:space="preserve">OpenRouter (Gemini 2.5 Flash) cost for weekly plan regen + chat; includes buffer for retry waste until backlog item #22 is fixed</t>
  </si>
  <si>
    <t xml:space="preserve">One-time LLM cost per new install (onboarding)</t>
  </si>
  <si>
    <t xml:space="preserve">First bootstrap generation (training+nutrition+sleep), decomposed calls incl. retries</t>
  </si>
  <si>
    <t xml:space="preserve">Server fixed cost / month</t>
  </si>
  <si>
    <t xml:space="preserve">Cloud Run baseline beyond GCP free tier, Secret Manager, logging</t>
  </si>
  <si>
    <t xml:space="preserve">Server variable cost / active user / month</t>
  </si>
  <si>
    <t xml:space="preserve">Buffer for scale beyond Cloud Run free tier (2M req, 360k GiB-s/mo free)</t>
  </si>
  <si>
    <t xml:space="preserve">STORE &amp; TAX</t>
  </si>
  <si>
    <t xml:space="preserve">App store commission</t>
  </si>
  <si>
    <t xml:space="preserve">15% under Apple Small Business Program / Google Play first $1M-per-year tier; use 30% for the standard-tier scenario</t>
  </si>
  <si>
    <t xml:space="preserve">Corporate tax rate (Armenia)</t>
  </si>
  <si>
    <t xml:space="preserve">Standard AM profit tax ~18%. If IT-certification is obtained, this can drop toward 0% — verify current thresholds with a local accountant before relying on this.</t>
  </si>
  <si>
    <t xml:space="preserve">FIXED OPERATING EXPENSES (non-COGS)</t>
  </si>
  <si>
    <t xml:space="preserve">Apple Developer Program (annual, amortized)</t>
  </si>
  <si>
    <t xml:space="preserve">$99/year ÷ 12</t>
  </si>
  <si>
    <t xml:space="preserve">Google Play (one-time, month 1 only)</t>
  </si>
  <si>
    <t xml:space="preserve">One-time registration fee</t>
  </si>
  <si>
    <t xml:space="preserve">Tools &amp; misc / month</t>
  </si>
  <si>
    <t xml:space="preserve">Domain, monitoring, misc SaaS — placeholder, adjust to your actual stack</t>
  </si>
  <si>
    <t xml:space="preserve">Founder salary / month</t>
  </si>
  <si>
    <t xml:space="preserve">0 = pre-revenue solo founder draws nothing; set your real number once you want to pay yourself</t>
  </si>
  <si>
    <t xml:space="preserve">Marketing spend / month</t>
  </si>
  <si>
    <t xml:space="preserve">0 = organic growth only; set a budget to model paid acquisition (also raises Month-1 installs / growth rate above if used)</t>
  </si>
  <si>
    <t xml:space="preserve">Legend: yellow fill = edit these; black = formulas; green = link to another sheet.</t>
  </si>
  <si>
    <t xml:space="preserve">V-Tempe — 12-Month Financial Model</t>
  </si>
  <si>
    <t xml:space="preserve">Month</t>
  </si>
  <si>
    <t xml:space="preserve">New Installs</t>
  </si>
  <si>
    <t xml:space="preserve">Active Users (cost base)</t>
  </si>
  <si>
    <t xml:space="preserve">Paying Subs (begin)</t>
  </si>
  <si>
    <t xml:space="preserve">New Conversions</t>
  </si>
  <si>
    <t xml:space="preserve">Churned Subs</t>
  </si>
  <si>
    <t xml:space="preserve">Paying Subs (end)</t>
  </si>
  <si>
    <t xml:space="preserve">Gross Revenue</t>
  </si>
  <si>
    <t xml:space="preserve">Store Commission</t>
  </si>
  <si>
    <t xml:space="preserve">Net Revenue</t>
  </si>
  <si>
    <t xml:space="preserve">LLM Cost</t>
  </si>
  <si>
    <t xml:space="preserve">Server Cost</t>
  </si>
  <si>
    <t xml:space="preserve">Total COGS</t>
  </si>
  <si>
    <t xml:space="preserve">Gross Profit</t>
  </si>
  <si>
    <t xml:space="preserve">OpEx</t>
  </si>
  <si>
    <t xml:space="preserve">Pretax Profit</t>
  </si>
  <si>
    <t xml:space="preserve">Tax</t>
  </si>
  <si>
    <t xml:space="preserve">Net Profit</t>
  </si>
  <si>
    <t xml:space="preserve">Cumulative Net Profit</t>
  </si>
  <si>
    <t xml:space="preserve">YEAR 1 TOTAL</t>
  </si>
  <si>
    <t xml:space="preserve">V-Tempe — Year 1 Summary</t>
  </si>
  <si>
    <t xml:space="preserve">REVENUE &amp; GROWTH</t>
  </si>
  <si>
    <t xml:space="preserve">Total new installs (Year 1)</t>
  </si>
  <si>
    <t xml:space="preserve">Paying subscribers (Month 12, ending)</t>
  </si>
  <si>
    <t xml:space="preserve">Exit MRR (Month 12 gross revenue)</t>
  </si>
  <si>
    <t xml:space="preserve">Exit ARR (annualized)</t>
  </si>
  <si>
    <t xml:space="preserve">Year 1 gross revenue</t>
  </si>
  <si>
    <t xml:space="preserve">COSTS</t>
  </si>
  <si>
    <t xml:space="preserve">Year 1 total COGS (LLM + server)</t>
  </si>
  <si>
    <t xml:space="preserve">Year 1 total OpEx</t>
  </si>
  <si>
    <t xml:space="preserve">Year 1 total store commission</t>
  </si>
  <si>
    <t xml:space="preserve">Year 1 total tax</t>
  </si>
  <si>
    <t xml:space="preserve">PROFITABILITY</t>
  </si>
  <si>
    <t xml:space="preserve">Year 1 net profit / (loss)</t>
  </si>
  <si>
    <t xml:space="preserve">Net margin (Year 1 net profit / gross revenue)</t>
  </si>
  <si>
    <t xml:space="preserve">First month cumulative profit turns positive</t>
  </si>
  <si>
    <t xml:space="preserve">Break-even month (first month where cumulative net profit &gt; 0)</t>
  </si>
  <si>
    <t xml:space="preserve">Note: this model assumes no paid user acquisition beyond the marketing-spend line in Assumptions.</t>
  </si>
  <si>
    <t xml:space="preserve">If churn/conversion turn out worse than assumed, re-run with more conservative inputs on the Assumptions tab.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</si>
</sst>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"/>
    <numFmt numFmtId="167" formatCode="\$#,##0.00;&quot;($&quot;#,##0.00\);\-"/>
    <numFmt numFmtId="168" formatCode="\$#,##0;&quot;($&quot;#,##0\);\-"/>
    <numFmt numFmtId="169" formatCode="&quot;Month &quot;0"/>
  </numFmts>
  <fonts count="11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500</v>
      </c>
      <c r="C5" s="7" t="s">
        <v>4</v>
      </c>
    </row>
    <row r="6" customFormat="false" ht="15" hidden="false" customHeight="false" outlineLevel="0" collapsed="false">
      <c r="A6" s="5" t="s">
        <v>5</v>
      </c>
      <c r="B6" s="8" t="n">
        <v>0.12</v>
      </c>
      <c r="C6" s="7" t="s">
        <v>6</v>
      </c>
    </row>
    <row r="7" customFormat="false" ht="15" hidden="false" customHeight="false" outlineLevel="0" collapsed="false">
      <c r="A7" s="5" t="s">
        <v>7</v>
      </c>
      <c r="B7" s="8" t="n">
        <v>0.2</v>
      </c>
      <c r="C7" s="7" t="s">
        <v>8</v>
      </c>
    </row>
    <row r="8" customFormat="false" ht="15" hidden="false" customHeight="false" outlineLevel="0" collapsed="false">
      <c r="A8" s="5" t="s">
        <v>9</v>
      </c>
      <c r="B8" s="8" t="n">
        <v>0.08</v>
      </c>
      <c r="C8" s="7" t="s">
        <v>10</v>
      </c>
    </row>
    <row r="10" customFormat="false" ht="15" hidden="false" customHeight="false" outlineLevel="0" collapsed="false">
      <c r="A10" s="3" t="s">
        <v>11</v>
      </c>
      <c r="B10" s="4"/>
      <c r="C10" s="4"/>
    </row>
    <row r="11" customFormat="false" ht="15" hidden="false" customHeight="false" outlineLevel="0" collapsed="false">
      <c r="A11" s="5" t="s">
        <v>12</v>
      </c>
      <c r="B11" s="9" t="n">
        <v>3.99</v>
      </c>
      <c r="C11" s="7" t="s">
        <v>13</v>
      </c>
    </row>
    <row r="12" customFormat="false" ht="15" hidden="false" customHeight="false" outlineLevel="0" collapsed="false">
      <c r="A12" s="5" t="s">
        <v>14</v>
      </c>
      <c r="B12" s="9" t="n">
        <v>39</v>
      </c>
      <c r="C12" s="7" t="s">
        <v>15</v>
      </c>
    </row>
    <row r="13" customFormat="false" ht="15" hidden="false" customHeight="false" outlineLevel="0" collapsed="false">
      <c r="A13" s="5" t="s">
        <v>16</v>
      </c>
      <c r="B13" s="8" t="n">
        <v>0.3</v>
      </c>
      <c r="C13" s="7" t="s">
        <v>17</v>
      </c>
    </row>
    <row r="15" customFormat="false" ht="15" hidden="false" customHeight="false" outlineLevel="0" collapsed="false">
      <c r="A15" s="3" t="s">
        <v>18</v>
      </c>
      <c r="B15" s="4"/>
      <c r="C15" s="4"/>
    </row>
    <row r="16" customFormat="false" ht="15" hidden="false" customHeight="false" outlineLevel="0" collapsed="false">
      <c r="A16" s="5" t="s">
        <v>19</v>
      </c>
      <c r="B16" s="9" t="n">
        <v>0.85</v>
      </c>
      <c r="C16" s="7" t="s">
        <v>20</v>
      </c>
    </row>
    <row r="17" customFormat="false" ht="15" hidden="false" customHeight="false" outlineLevel="0" collapsed="false">
      <c r="A17" s="5" t="s">
        <v>21</v>
      </c>
      <c r="B17" s="9" t="n">
        <v>0.07</v>
      </c>
      <c r="C17" s="7" t="s">
        <v>22</v>
      </c>
    </row>
    <row r="18" customFormat="false" ht="15" hidden="false" customHeight="false" outlineLevel="0" collapsed="false">
      <c r="A18" s="5" t="s">
        <v>23</v>
      </c>
      <c r="B18" s="10" t="n">
        <v>30</v>
      </c>
      <c r="C18" s="7" t="s">
        <v>24</v>
      </c>
    </row>
    <row r="19" customFormat="false" ht="15" hidden="false" customHeight="false" outlineLevel="0" collapsed="false">
      <c r="A19" s="5" t="s">
        <v>25</v>
      </c>
      <c r="B19" s="9" t="n">
        <v>0.01</v>
      </c>
      <c r="C19" s="7" t="s">
        <v>26</v>
      </c>
    </row>
    <row r="21" customFormat="false" ht="15" hidden="false" customHeight="false" outlineLevel="0" collapsed="false">
      <c r="A21" s="3" t="s">
        <v>27</v>
      </c>
      <c r="B21" s="4"/>
      <c r="C21" s="4"/>
    </row>
    <row r="22" customFormat="false" ht="15" hidden="false" customHeight="false" outlineLevel="0" collapsed="false">
      <c r="A22" s="5" t="s">
        <v>28</v>
      </c>
      <c r="B22" s="8" t="n">
        <v>0.15</v>
      </c>
      <c r="C22" s="7" t="s">
        <v>29</v>
      </c>
    </row>
    <row r="23" customFormat="false" ht="15" hidden="false" customHeight="false" outlineLevel="0" collapsed="false">
      <c r="A23" s="5" t="s">
        <v>30</v>
      </c>
      <c r="B23" s="8" t="n">
        <v>0.18</v>
      </c>
      <c r="C23" s="7" t="s">
        <v>31</v>
      </c>
    </row>
    <row r="25" customFormat="false" ht="15" hidden="false" customHeight="false" outlineLevel="0" collapsed="false">
      <c r="A25" s="3" t="s">
        <v>32</v>
      </c>
      <c r="B25" s="4"/>
      <c r="C25" s="4"/>
    </row>
    <row r="26" customFormat="false" ht="15" hidden="false" customHeight="false" outlineLevel="0" collapsed="false">
      <c r="A26" s="5" t="s">
        <v>33</v>
      </c>
      <c r="B26" s="9" t="n">
        <v>8.25</v>
      </c>
      <c r="C26" s="7" t="s">
        <v>34</v>
      </c>
    </row>
    <row r="27" customFormat="false" ht="15" hidden="false" customHeight="false" outlineLevel="0" collapsed="false">
      <c r="A27" s="5" t="s">
        <v>35</v>
      </c>
      <c r="B27" s="10" t="n">
        <v>25</v>
      </c>
      <c r="C27" s="7" t="s">
        <v>36</v>
      </c>
    </row>
    <row r="28" customFormat="false" ht="15" hidden="false" customHeight="false" outlineLevel="0" collapsed="false">
      <c r="A28" s="5" t="s">
        <v>37</v>
      </c>
      <c r="B28" s="10" t="n">
        <v>50</v>
      </c>
      <c r="C28" s="7" t="s">
        <v>38</v>
      </c>
    </row>
    <row r="29" customFormat="false" ht="15" hidden="false" customHeight="false" outlineLevel="0" collapsed="false">
      <c r="A29" s="5" t="s">
        <v>39</v>
      </c>
      <c r="B29" s="10" t="n">
        <v>0</v>
      </c>
      <c r="C29" s="7" t="s">
        <v>40</v>
      </c>
    </row>
    <row r="30" customFormat="false" ht="15" hidden="false" customHeight="false" outlineLevel="0" collapsed="false">
      <c r="A30" s="5" t="s">
        <v>41</v>
      </c>
      <c r="B30" s="10" t="n">
        <v>0</v>
      </c>
      <c r="C30" s="7" t="s">
        <v>42</v>
      </c>
    </row>
    <row r="32" customFormat="false" ht="15" hidden="false" customHeight="false" outlineLevel="0" collapsed="false">
      <c r="A32" s="7" t="s">
        <v>43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9" min="1" style="0" width="15"/>
  </cols>
  <sheetData>
    <row r="1" customFormat="false" ht="17.35" hidden="false" customHeight="fals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6.85" hidden="false" customHeight="false" outlineLevel="0" collapsed="false">
      <c r="A2" s="11" t="s">
        <v>45</v>
      </c>
      <c r="B2" s="11" t="s">
        <v>46</v>
      </c>
      <c r="C2" s="11" t="s">
        <v>47</v>
      </c>
      <c r="D2" s="11" t="s">
        <v>48</v>
      </c>
      <c r="E2" s="11" t="s">
        <v>49</v>
      </c>
      <c r="F2" s="11" t="s">
        <v>50</v>
      </c>
      <c r="G2" s="11" t="s">
        <v>51</v>
      </c>
      <c r="H2" s="11" t="s">
        <v>52</v>
      </c>
      <c r="I2" s="11" t="s">
        <v>53</v>
      </c>
      <c r="J2" s="11" t="s">
        <v>54</v>
      </c>
      <c r="K2" s="11" t="s">
        <v>55</v>
      </c>
      <c r="L2" s="11" t="s">
        <v>56</v>
      </c>
      <c r="M2" s="11" t="s">
        <v>57</v>
      </c>
      <c r="N2" s="11" t="s">
        <v>58</v>
      </c>
      <c r="O2" s="11" t="s">
        <v>59</v>
      </c>
      <c r="P2" s="11" t="s">
        <v>60</v>
      </c>
      <c r="Q2" s="11" t="s">
        <v>61</v>
      </c>
      <c r="R2" s="11" t="s">
        <v>62</v>
      </c>
      <c r="S2" s="11" t="s">
        <v>63</v>
      </c>
    </row>
    <row r="3" customFormat="false" ht="15" hidden="false" customHeight="false" outlineLevel="0" collapsed="false">
      <c r="A3" s="12" t="n">
        <v>1</v>
      </c>
      <c r="B3" s="13" t="n">
        <f aca="false">Assumptions!$B$5</f>
        <v>500</v>
      </c>
      <c r="C3" s="13" t="n">
        <f aca="false">B3+D3</f>
        <v>500</v>
      </c>
      <c r="D3" s="13" t="n">
        <v>0</v>
      </c>
      <c r="E3" s="13" t="n">
        <f aca="false">B3*Assumptions!$B$7</f>
        <v>100</v>
      </c>
      <c r="F3" s="13" t="n">
        <f aca="false">D3*Assumptions!$B$8</f>
        <v>0</v>
      </c>
      <c r="G3" s="13" t="n">
        <f aca="false">D3+E3-F3</f>
        <v>100</v>
      </c>
      <c r="H3" s="14" t="n">
        <f aca="false">AVERAGE(D3,G3)*(Assumptions!$B$11*(1-Assumptions!$B$13)+(Assumptions!$B$12/12)*Assumptions!$B$13)</f>
        <v>188.4</v>
      </c>
      <c r="I3" s="14" t="n">
        <f aca="false">H3*Assumptions!$B$22</f>
        <v>28.26</v>
      </c>
      <c r="J3" s="14" t="n">
        <f aca="false">H3-I3</f>
        <v>160.14</v>
      </c>
      <c r="K3" s="14" t="n">
        <f aca="false">C3*Assumptions!$B$16+B3*Assumptions!$B$17</f>
        <v>460</v>
      </c>
      <c r="L3" s="14" t="n">
        <f aca="false">Assumptions!$B$18+C3*Assumptions!$B$19</f>
        <v>35</v>
      </c>
      <c r="M3" s="14" t="n">
        <f aca="false">K3+L3</f>
        <v>495</v>
      </c>
      <c r="N3" s="14" t="n">
        <f aca="false">J3-M3</f>
        <v>-334.86</v>
      </c>
      <c r="O3" s="14" t="n">
        <f aca="false">Assumptions!$B$26+Assumptions!$B$28+Assumptions!$B$29+Assumptions!$B$30+Assumptions!$B$27</f>
        <v>83.25</v>
      </c>
      <c r="P3" s="14" t="n">
        <f aca="false">N3-O3</f>
        <v>-418.11</v>
      </c>
      <c r="Q3" s="14" t="n">
        <f aca="false">MAX(0,P3)*Assumptions!$B$23</f>
        <v>0</v>
      </c>
      <c r="R3" s="14" t="n">
        <f aca="false">P3-Q3</f>
        <v>-418.11</v>
      </c>
      <c r="S3" s="14" t="n">
        <f aca="false">R3</f>
        <v>-418.11</v>
      </c>
    </row>
    <row r="4" customFormat="false" ht="15" hidden="false" customHeight="false" outlineLevel="0" collapsed="false">
      <c r="A4" s="12" t="n">
        <v>2</v>
      </c>
      <c r="B4" s="13" t="n">
        <f aca="false">B3*(1+Assumptions!$B$6)</f>
        <v>560</v>
      </c>
      <c r="C4" s="13" t="n">
        <f aca="false">B4+D4</f>
        <v>660</v>
      </c>
      <c r="D4" s="13" t="n">
        <f aca="false">G3</f>
        <v>100</v>
      </c>
      <c r="E4" s="13" t="n">
        <f aca="false">B4*Assumptions!$B$7</f>
        <v>112</v>
      </c>
      <c r="F4" s="13" t="n">
        <f aca="false">D4*Assumptions!$B$8</f>
        <v>8</v>
      </c>
      <c r="G4" s="13" t="n">
        <f aca="false">D4+E4-F4</f>
        <v>204</v>
      </c>
      <c r="H4" s="14" t="n">
        <f aca="false">AVERAGE(D4,G4)*(Assumptions!$B$11*(1-Assumptions!$B$13)+(Assumptions!$B$12/12)*Assumptions!$B$13)</f>
        <v>572.736</v>
      </c>
      <c r="I4" s="14" t="n">
        <f aca="false">H4*Assumptions!$B$22</f>
        <v>85.9104</v>
      </c>
      <c r="J4" s="14" t="n">
        <f aca="false">H4-I4</f>
        <v>486.8256</v>
      </c>
      <c r="K4" s="14" t="n">
        <f aca="false">C4*Assumptions!$B$16+B4*Assumptions!$B$17</f>
        <v>600.2</v>
      </c>
      <c r="L4" s="14" t="n">
        <f aca="false">Assumptions!$B$18+C4*Assumptions!$B$19</f>
        <v>36.6</v>
      </c>
      <c r="M4" s="14" t="n">
        <f aca="false">K4+L4</f>
        <v>636.8</v>
      </c>
      <c r="N4" s="14" t="n">
        <f aca="false">J4-M4</f>
        <v>-149.9744</v>
      </c>
      <c r="O4" s="14" t="n">
        <f aca="false">Assumptions!$B$26+Assumptions!$B$28+Assumptions!$B$29+Assumptions!$B$30</f>
        <v>58.25</v>
      </c>
      <c r="P4" s="14" t="n">
        <f aca="false">N4-O4</f>
        <v>-208.2244</v>
      </c>
      <c r="Q4" s="14" t="n">
        <f aca="false">MAX(0,P4)*Assumptions!$B$23</f>
        <v>0</v>
      </c>
      <c r="R4" s="14" t="n">
        <f aca="false">P4-Q4</f>
        <v>-208.2244</v>
      </c>
      <c r="S4" s="14" t="n">
        <f aca="false">S3+R4</f>
        <v>-626.3344</v>
      </c>
    </row>
    <row r="5" customFormat="false" ht="15" hidden="false" customHeight="false" outlineLevel="0" collapsed="false">
      <c r="A5" s="12" t="n">
        <v>3</v>
      </c>
      <c r="B5" s="13" t="n">
        <f aca="false">B4*(1+Assumptions!$B$6)</f>
        <v>627.2</v>
      </c>
      <c r="C5" s="13" t="n">
        <f aca="false">B5+D5</f>
        <v>831.2</v>
      </c>
      <c r="D5" s="13" t="n">
        <f aca="false">G4</f>
        <v>204</v>
      </c>
      <c r="E5" s="13" t="n">
        <f aca="false">B5*Assumptions!$B$7</f>
        <v>125.44</v>
      </c>
      <c r="F5" s="13" t="n">
        <f aca="false">D5*Assumptions!$B$8</f>
        <v>16.32</v>
      </c>
      <c r="G5" s="13" t="n">
        <f aca="false">D5+E5-F5</f>
        <v>313.12</v>
      </c>
      <c r="H5" s="14" t="n">
        <f aca="false">AVERAGE(D5,G5)*(Assumptions!$B$11*(1-Assumptions!$B$13)+(Assumptions!$B$12/12)*Assumptions!$B$13)</f>
        <v>974.25408</v>
      </c>
      <c r="I5" s="14" t="n">
        <f aca="false">H5*Assumptions!$B$22</f>
        <v>146.138112</v>
      </c>
      <c r="J5" s="14" t="n">
        <f aca="false">H5-I5</f>
        <v>828.115968</v>
      </c>
      <c r="K5" s="14" t="n">
        <f aca="false">C5*Assumptions!$B$16+B5*Assumptions!$B$17</f>
        <v>750.424</v>
      </c>
      <c r="L5" s="14" t="n">
        <f aca="false">Assumptions!$B$18+C5*Assumptions!$B$19</f>
        <v>38.312</v>
      </c>
      <c r="M5" s="14" t="n">
        <f aca="false">K5+L5</f>
        <v>788.736</v>
      </c>
      <c r="N5" s="14" t="n">
        <f aca="false">J5-M5</f>
        <v>39.3799680000001</v>
      </c>
      <c r="O5" s="14" t="n">
        <f aca="false">Assumptions!$B$26+Assumptions!$B$28+Assumptions!$B$29+Assumptions!$B$30</f>
        <v>58.25</v>
      </c>
      <c r="P5" s="14" t="n">
        <f aca="false">N5-O5</f>
        <v>-18.8700319999999</v>
      </c>
      <c r="Q5" s="14" t="n">
        <f aca="false">MAX(0,P5)*Assumptions!$B$23</f>
        <v>0</v>
      </c>
      <c r="R5" s="14" t="n">
        <f aca="false">P5-Q5</f>
        <v>-18.8700319999999</v>
      </c>
      <c r="S5" s="14" t="n">
        <f aca="false">S4+R5</f>
        <v>-645.204432</v>
      </c>
    </row>
    <row r="6" customFormat="false" ht="15" hidden="false" customHeight="false" outlineLevel="0" collapsed="false">
      <c r="A6" s="12" t="n">
        <v>4</v>
      </c>
      <c r="B6" s="13" t="n">
        <f aca="false">B5*(1+Assumptions!$B$6)</f>
        <v>702.464</v>
      </c>
      <c r="C6" s="13" t="n">
        <f aca="false">B6+D6</f>
        <v>1015.584</v>
      </c>
      <c r="D6" s="13" t="n">
        <f aca="false">G5</f>
        <v>313.12</v>
      </c>
      <c r="E6" s="13" t="n">
        <f aca="false">B6*Assumptions!$B$7</f>
        <v>140.4928</v>
      </c>
      <c r="F6" s="13" t="n">
        <f aca="false">D6*Assumptions!$B$8</f>
        <v>25.0496</v>
      </c>
      <c r="G6" s="13" t="n">
        <f aca="false">D6+E6-F6</f>
        <v>428.5632</v>
      </c>
      <c r="H6" s="14" t="n">
        <f aca="false">AVERAGE(D6,G6)*(Assumptions!$B$11*(1-Assumptions!$B$13)+(Assumptions!$B$12/12)*Assumptions!$B$13)</f>
        <v>1397.3311488</v>
      </c>
      <c r="I6" s="14" t="n">
        <f aca="false">H6*Assumptions!$B$22</f>
        <v>209.59967232</v>
      </c>
      <c r="J6" s="14" t="n">
        <f aca="false">H6-I6</f>
        <v>1187.73147648</v>
      </c>
      <c r="K6" s="14" t="n">
        <f aca="false">C6*Assumptions!$B$16+B6*Assumptions!$B$17</f>
        <v>912.41888</v>
      </c>
      <c r="L6" s="14" t="n">
        <f aca="false">Assumptions!$B$18+C6*Assumptions!$B$19</f>
        <v>40.15584</v>
      </c>
      <c r="M6" s="14" t="n">
        <f aca="false">K6+L6</f>
        <v>952.57472</v>
      </c>
      <c r="N6" s="14" t="n">
        <f aca="false">J6-M6</f>
        <v>235.15675648</v>
      </c>
      <c r="O6" s="14" t="n">
        <f aca="false">Assumptions!$B$26+Assumptions!$B$28+Assumptions!$B$29+Assumptions!$B$30</f>
        <v>58.25</v>
      </c>
      <c r="P6" s="14" t="n">
        <f aca="false">N6-O6</f>
        <v>176.90675648</v>
      </c>
      <c r="Q6" s="14" t="n">
        <f aca="false">MAX(0,P6)*Assumptions!$B$23</f>
        <v>31.8432161664</v>
      </c>
      <c r="R6" s="14" t="n">
        <f aca="false">P6-Q6</f>
        <v>145.0635403136</v>
      </c>
      <c r="S6" s="14" t="n">
        <f aca="false">S5+R6</f>
        <v>-500.1408916864</v>
      </c>
    </row>
    <row r="7" customFormat="false" ht="15" hidden="false" customHeight="false" outlineLevel="0" collapsed="false">
      <c r="A7" s="12" t="n">
        <v>5</v>
      </c>
      <c r="B7" s="13" t="n">
        <f aca="false">B6*(1+Assumptions!$B$6)</f>
        <v>786.75968</v>
      </c>
      <c r="C7" s="13" t="n">
        <f aca="false">B7+D7</f>
        <v>1215.32288</v>
      </c>
      <c r="D7" s="13" t="n">
        <f aca="false">G6</f>
        <v>428.5632</v>
      </c>
      <c r="E7" s="13" t="n">
        <f aca="false">B7*Assumptions!$B$7</f>
        <v>157.351936</v>
      </c>
      <c r="F7" s="13" t="n">
        <f aca="false">D7*Assumptions!$B$8</f>
        <v>34.285056</v>
      </c>
      <c r="G7" s="13" t="n">
        <f aca="false">D7+E7-F7</f>
        <v>551.63008</v>
      </c>
      <c r="H7" s="14" t="n">
        <f aca="false">AVERAGE(D7,G7)*(Assumptions!$B$11*(1-Assumptions!$B$13)+(Assumptions!$B$12/12)*Assumptions!$B$13)</f>
        <v>1846.68413952</v>
      </c>
      <c r="I7" s="14" t="n">
        <f aca="false">H7*Assumptions!$B$22</f>
        <v>277.002620928</v>
      </c>
      <c r="J7" s="14" t="n">
        <f aca="false">H7-I7</f>
        <v>1569.681518592</v>
      </c>
      <c r="K7" s="14" t="n">
        <f aca="false">C7*Assumptions!$B$16+B7*Assumptions!$B$17</f>
        <v>1088.0976256</v>
      </c>
      <c r="L7" s="14" t="n">
        <f aca="false">Assumptions!$B$18+C7*Assumptions!$B$19</f>
        <v>42.1532288</v>
      </c>
      <c r="M7" s="14" t="n">
        <f aca="false">K7+L7</f>
        <v>1130.2508544</v>
      </c>
      <c r="N7" s="14" t="n">
        <f aca="false">J7-M7</f>
        <v>439.430664192</v>
      </c>
      <c r="O7" s="14" t="n">
        <f aca="false">Assumptions!$B$26+Assumptions!$B$28+Assumptions!$B$29+Assumptions!$B$30</f>
        <v>58.25</v>
      </c>
      <c r="P7" s="14" t="n">
        <f aca="false">N7-O7</f>
        <v>381.180664192</v>
      </c>
      <c r="Q7" s="14" t="n">
        <f aca="false">MAX(0,P7)*Assumptions!$B$23</f>
        <v>68.61251955456</v>
      </c>
      <c r="R7" s="14" t="n">
        <f aca="false">P7-Q7</f>
        <v>312.56814463744</v>
      </c>
      <c r="S7" s="14" t="n">
        <f aca="false">S6+R7</f>
        <v>-187.57274704896</v>
      </c>
    </row>
    <row r="8" customFormat="false" ht="15" hidden="false" customHeight="false" outlineLevel="0" collapsed="false">
      <c r="A8" s="12" t="n">
        <v>6</v>
      </c>
      <c r="B8" s="13" t="n">
        <f aca="false">B7*(1+Assumptions!$B$6)</f>
        <v>881.1708416</v>
      </c>
      <c r="C8" s="13" t="n">
        <f aca="false">B8+D8</f>
        <v>1432.8009216</v>
      </c>
      <c r="D8" s="13" t="n">
        <f aca="false">G7</f>
        <v>551.63008</v>
      </c>
      <c r="E8" s="13" t="n">
        <f aca="false">B8*Assumptions!$B$7</f>
        <v>176.23416832</v>
      </c>
      <c r="F8" s="13" t="n">
        <f aca="false">D8*Assumptions!$B$8</f>
        <v>44.1304064</v>
      </c>
      <c r="G8" s="13" t="n">
        <f aca="false">D8+E8-F8</f>
        <v>683.73384192</v>
      </c>
      <c r="H8" s="14" t="n">
        <f aca="false">AVERAGE(D8,G8)*(Assumptions!$B$11*(1-Assumptions!$B$13)+(Assumptions!$B$12/12)*Assumptions!$B$13)</f>
        <v>2327.42562889728</v>
      </c>
      <c r="I8" s="14" t="n">
        <f aca="false">H8*Assumptions!$B$22</f>
        <v>349.113844334592</v>
      </c>
      <c r="J8" s="14" t="n">
        <f aca="false">H8-I8</f>
        <v>1978.31178456269</v>
      </c>
      <c r="K8" s="14" t="n">
        <f aca="false">C8*Assumptions!$B$16+B8*Assumptions!$B$17</f>
        <v>1279.562742272</v>
      </c>
      <c r="L8" s="14" t="n">
        <f aca="false">Assumptions!$B$18+C8*Assumptions!$B$19</f>
        <v>44.328009216</v>
      </c>
      <c r="M8" s="14" t="n">
        <f aca="false">K8+L8</f>
        <v>1323.890751488</v>
      </c>
      <c r="N8" s="14" t="n">
        <f aca="false">J8-M8</f>
        <v>654.421033074688</v>
      </c>
      <c r="O8" s="14" t="n">
        <f aca="false">Assumptions!$B$26+Assumptions!$B$28+Assumptions!$B$29+Assumptions!$B$30</f>
        <v>58.25</v>
      </c>
      <c r="P8" s="14" t="n">
        <f aca="false">N8-O8</f>
        <v>596.171033074688</v>
      </c>
      <c r="Q8" s="14" t="n">
        <f aca="false">MAX(0,P8)*Assumptions!$B$23</f>
        <v>107.310785953444</v>
      </c>
      <c r="R8" s="14" t="n">
        <f aca="false">P8-Q8</f>
        <v>488.860247121244</v>
      </c>
      <c r="S8" s="14" t="n">
        <f aca="false">S7+R8</f>
        <v>301.287500072284</v>
      </c>
    </row>
    <row r="9" customFormat="false" ht="15" hidden="false" customHeight="false" outlineLevel="0" collapsed="false">
      <c r="A9" s="12" t="n">
        <v>7</v>
      </c>
      <c r="B9" s="13" t="n">
        <f aca="false">B8*(1+Assumptions!$B$6)</f>
        <v>986.911342592001</v>
      </c>
      <c r="C9" s="13" t="n">
        <f aca="false">B9+D9</f>
        <v>1670.645184512</v>
      </c>
      <c r="D9" s="13" t="n">
        <f aca="false">G8</f>
        <v>683.73384192</v>
      </c>
      <c r="E9" s="13" t="n">
        <f aca="false">B9*Assumptions!$B$7</f>
        <v>197.3822685184</v>
      </c>
      <c r="F9" s="13" t="n">
        <f aca="false">D9*Assumptions!$B$8</f>
        <v>54.6987073536</v>
      </c>
      <c r="G9" s="13" t="n">
        <f aca="false">D9+E9-F9</f>
        <v>826.4174030848</v>
      </c>
      <c r="H9" s="14" t="n">
        <f aca="false">AVERAGE(D9,G9)*(Assumptions!$B$11*(1-Assumptions!$B$13)+(Assumptions!$B$12/12)*Assumptions!$B$13)</f>
        <v>2845.12494558904</v>
      </c>
      <c r="I9" s="14" t="n">
        <f aca="false">H9*Assumptions!$B$22</f>
        <v>426.768741838357</v>
      </c>
      <c r="J9" s="14" t="n">
        <f aca="false">H9-I9</f>
        <v>2418.35620375069</v>
      </c>
      <c r="K9" s="14" t="n">
        <f aca="false">C9*Assumptions!$B$16+B9*Assumptions!$B$17</f>
        <v>1489.13220081664</v>
      </c>
      <c r="L9" s="14" t="n">
        <f aca="false">Assumptions!$B$18+C9*Assumptions!$B$19</f>
        <v>46.70645184512</v>
      </c>
      <c r="M9" s="14" t="n">
        <f aca="false">K9+L9</f>
        <v>1535.83865266176</v>
      </c>
      <c r="N9" s="14" t="n">
        <f aca="false">J9-M9</f>
        <v>882.517551088927</v>
      </c>
      <c r="O9" s="14" t="n">
        <f aca="false">Assumptions!$B$26+Assumptions!$B$28+Assumptions!$B$29+Assumptions!$B$30</f>
        <v>58.25</v>
      </c>
      <c r="P9" s="14" t="n">
        <f aca="false">N9-O9</f>
        <v>824.267551088927</v>
      </c>
      <c r="Q9" s="14" t="n">
        <f aca="false">MAX(0,P9)*Assumptions!$B$23</f>
        <v>148.368159196007</v>
      </c>
      <c r="R9" s="14" t="n">
        <f aca="false">P9-Q9</f>
        <v>675.89939189292</v>
      </c>
      <c r="S9" s="14" t="n">
        <f aca="false">S8+R9</f>
        <v>977.186891965204</v>
      </c>
    </row>
    <row r="10" customFormat="false" ht="15" hidden="false" customHeight="false" outlineLevel="0" collapsed="false">
      <c r="A10" s="12" t="n">
        <v>8</v>
      </c>
      <c r="B10" s="13" t="n">
        <f aca="false">B9*(1+Assumptions!$B$6)</f>
        <v>1105.34070370304</v>
      </c>
      <c r="C10" s="13" t="n">
        <f aca="false">B10+D10</f>
        <v>1931.75810678784</v>
      </c>
      <c r="D10" s="13" t="n">
        <f aca="false">G9</f>
        <v>826.4174030848</v>
      </c>
      <c r="E10" s="13" t="n">
        <f aca="false">B10*Assumptions!$B$7</f>
        <v>221.068140740608</v>
      </c>
      <c r="F10" s="13" t="n">
        <f aca="false">D10*Assumptions!$B$8</f>
        <v>66.113392246784</v>
      </c>
      <c r="G10" s="13" t="n">
        <f aca="false">D10+E10-F10</f>
        <v>981.372151578624</v>
      </c>
      <c r="H10" s="14" t="n">
        <f aca="false">AVERAGE(D10,G10)*(Assumptions!$B$11*(1-Assumptions!$B$13)+(Assumptions!$B$12/12)*Assumptions!$B$13)</f>
        <v>3405.87552098589</v>
      </c>
      <c r="I10" s="14" t="n">
        <f aca="false">H10*Assumptions!$B$22</f>
        <v>510.881328147884</v>
      </c>
      <c r="J10" s="14" t="n">
        <f aca="false">H10-I10</f>
        <v>2894.99419283801</v>
      </c>
      <c r="K10" s="14" t="n">
        <f aca="false">C10*Assumptions!$B$16+B10*Assumptions!$B$17</f>
        <v>1719.36824002888</v>
      </c>
      <c r="L10" s="14" t="n">
        <f aca="false">Assumptions!$B$18+C10*Assumptions!$B$19</f>
        <v>49.3175810678784</v>
      </c>
      <c r="M10" s="14" t="n">
        <f aca="false">K10+L10</f>
        <v>1768.68582109676</v>
      </c>
      <c r="N10" s="14" t="n">
        <f aca="false">J10-M10</f>
        <v>1126.30837174125</v>
      </c>
      <c r="O10" s="14" t="n">
        <f aca="false">Assumptions!$B$26+Assumptions!$B$28+Assumptions!$B$29+Assumptions!$B$30</f>
        <v>58.25</v>
      </c>
      <c r="P10" s="14" t="n">
        <f aca="false">N10-O10</f>
        <v>1068.05837174125</v>
      </c>
      <c r="Q10" s="14" t="n">
        <f aca="false">MAX(0,P10)*Assumptions!$B$23</f>
        <v>192.250506913425</v>
      </c>
      <c r="R10" s="14" t="n">
        <f aca="false">P10-Q10</f>
        <v>875.807864827827</v>
      </c>
      <c r="S10" s="14" t="n">
        <f aca="false">S9+R10</f>
        <v>1852.99475679303</v>
      </c>
    </row>
    <row r="11" customFormat="false" ht="15" hidden="false" customHeight="false" outlineLevel="0" collapsed="false">
      <c r="A11" s="12" t="n">
        <v>9</v>
      </c>
      <c r="B11" s="13" t="n">
        <f aca="false">B10*(1+Assumptions!$B$6)</f>
        <v>1237.98158814741</v>
      </c>
      <c r="C11" s="13" t="n">
        <f aca="false">B11+D11</f>
        <v>2219.35373972603</v>
      </c>
      <c r="D11" s="13" t="n">
        <f aca="false">G10</f>
        <v>981.372151578624</v>
      </c>
      <c r="E11" s="13" t="n">
        <f aca="false">B11*Assumptions!$B$7</f>
        <v>247.596317629481</v>
      </c>
      <c r="F11" s="13" t="n">
        <f aca="false">D11*Assumptions!$B$8</f>
        <v>78.50977212629</v>
      </c>
      <c r="G11" s="13" t="n">
        <f aca="false">D11+E11-F11</f>
        <v>1150.45869708182</v>
      </c>
      <c r="H11" s="14" t="n">
        <f aca="false">AVERAGE(D11,G11)*(Assumptions!$B$11*(1-Assumptions!$B$13)+(Assumptions!$B$12/12)*Assumptions!$B$13)</f>
        <v>4016.36931887627</v>
      </c>
      <c r="I11" s="14" t="n">
        <f aca="false">H11*Assumptions!$B$22</f>
        <v>602.455397831441</v>
      </c>
      <c r="J11" s="14" t="n">
        <f aca="false">H11-I11</f>
        <v>3413.91392104483</v>
      </c>
      <c r="K11" s="14" t="n">
        <f aca="false">C11*Assumptions!$B$16+B11*Assumptions!$B$17</f>
        <v>1973.10938993744</v>
      </c>
      <c r="L11" s="14" t="n">
        <f aca="false">Assumptions!$B$18+C11*Assumptions!$B$19</f>
        <v>52.1935373972603</v>
      </c>
      <c r="M11" s="14" t="n">
        <f aca="false">K11+L11</f>
        <v>2025.3029273347</v>
      </c>
      <c r="N11" s="14" t="n">
        <f aca="false">J11-M11</f>
        <v>1388.61099371013</v>
      </c>
      <c r="O11" s="14" t="n">
        <f aca="false">Assumptions!$B$26+Assumptions!$B$28+Assumptions!$B$29+Assumptions!$B$30</f>
        <v>58.25</v>
      </c>
      <c r="P11" s="14" t="n">
        <f aca="false">N11-O11</f>
        <v>1330.36099371013</v>
      </c>
      <c r="Q11" s="14" t="n">
        <f aca="false">MAX(0,P11)*Assumptions!$B$23</f>
        <v>239.464978867823</v>
      </c>
      <c r="R11" s="14" t="n">
        <f aca="false">P11-Q11</f>
        <v>1090.8960148423</v>
      </c>
      <c r="S11" s="14" t="n">
        <f aca="false">S10+R11</f>
        <v>2943.89077163533</v>
      </c>
    </row>
    <row r="12" customFormat="false" ht="15" hidden="false" customHeight="false" outlineLevel="0" collapsed="false">
      <c r="A12" s="12" t="n">
        <v>10</v>
      </c>
      <c r="B12" s="13" t="n">
        <f aca="false">B11*(1+Assumptions!$B$6)</f>
        <v>1386.53937872509</v>
      </c>
      <c r="C12" s="13" t="n">
        <f aca="false">B12+D12</f>
        <v>2536.99807580691</v>
      </c>
      <c r="D12" s="13" t="n">
        <f aca="false">G11</f>
        <v>1150.45869708182</v>
      </c>
      <c r="E12" s="13" t="n">
        <f aca="false">B12*Assumptions!$B$7</f>
        <v>277.307875745019</v>
      </c>
      <c r="F12" s="13" t="n">
        <f aca="false">D12*Assumptions!$B$8</f>
        <v>92.0366957665452</v>
      </c>
      <c r="G12" s="13" t="n">
        <f aca="false">D12+E12-F12</f>
        <v>1335.72987706029</v>
      </c>
      <c r="H12" s="14" t="n">
        <f aca="false">AVERAGE(D12,G12)*(Assumptions!$B$11*(1-Assumptions!$B$13)+(Assumptions!$B$12/12)*Assumptions!$B$13)</f>
        <v>4683.97927368373</v>
      </c>
      <c r="I12" s="14" t="n">
        <f aca="false">H12*Assumptions!$B$22</f>
        <v>702.596891052559</v>
      </c>
      <c r="J12" s="14" t="n">
        <f aca="false">H12-I12</f>
        <v>3981.38238263117</v>
      </c>
      <c r="K12" s="14" t="n">
        <f aca="false">C12*Assumptions!$B$16+B12*Assumptions!$B$17</f>
        <v>2253.50612094663</v>
      </c>
      <c r="L12" s="14" t="n">
        <f aca="false">Assumptions!$B$18+C12*Assumptions!$B$19</f>
        <v>55.3699807580691</v>
      </c>
      <c r="M12" s="14" t="n">
        <f aca="false">K12+L12</f>
        <v>2308.8761017047</v>
      </c>
      <c r="N12" s="14" t="n">
        <f aca="false">J12-M12</f>
        <v>1672.50628092647</v>
      </c>
      <c r="O12" s="14" t="n">
        <f aca="false">Assumptions!$B$26+Assumptions!$B$28+Assumptions!$B$29+Assumptions!$B$30</f>
        <v>58.25</v>
      </c>
      <c r="P12" s="14" t="n">
        <f aca="false">N12-O12</f>
        <v>1614.25628092647</v>
      </c>
      <c r="Q12" s="14" t="n">
        <f aca="false">MAX(0,P12)*Assumptions!$B$23</f>
        <v>290.566130566764</v>
      </c>
      <c r="R12" s="14" t="n">
        <f aca="false">P12-Q12</f>
        <v>1323.6901503597</v>
      </c>
      <c r="S12" s="14" t="n">
        <f aca="false">S11+R12</f>
        <v>4267.58092199504</v>
      </c>
    </row>
    <row r="13" customFormat="false" ht="15" hidden="false" customHeight="false" outlineLevel="0" collapsed="false">
      <c r="A13" s="12" t="n">
        <v>11</v>
      </c>
      <c r="B13" s="13" t="n">
        <f aca="false">B12*(1+Assumptions!$B$6)</f>
        <v>1552.92410417211</v>
      </c>
      <c r="C13" s="13" t="n">
        <f aca="false">B13+D13</f>
        <v>2888.6539812324</v>
      </c>
      <c r="D13" s="13" t="n">
        <f aca="false">G12</f>
        <v>1335.72987706029</v>
      </c>
      <c r="E13" s="13" t="n">
        <f aca="false">B13*Assumptions!$B$7</f>
        <v>310.584820834421</v>
      </c>
      <c r="F13" s="13" t="n">
        <f aca="false">D13*Assumptions!$B$8</f>
        <v>106.858390164823</v>
      </c>
      <c r="G13" s="13" t="n">
        <f aca="false">D13+E13-F13</f>
        <v>1539.45630772989</v>
      </c>
      <c r="H13" s="14" t="n">
        <f aca="false">AVERAGE(D13,G13)*(Assumptions!$B$11*(1-Assumptions!$B$13)+(Assumptions!$B$12/12)*Assumptions!$B$13)</f>
        <v>5416.85077214469</v>
      </c>
      <c r="I13" s="14" t="n">
        <f aca="false">H13*Assumptions!$B$22</f>
        <v>812.527615821704</v>
      </c>
      <c r="J13" s="14" t="n">
        <f aca="false">H13-I13</f>
        <v>4604.32315632299</v>
      </c>
      <c r="K13" s="14" t="n">
        <f aca="false">C13*Assumptions!$B$16+B13*Assumptions!$B$17</f>
        <v>2564.06057133958</v>
      </c>
      <c r="L13" s="14" t="n">
        <f aca="false">Assumptions!$B$18+C13*Assumptions!$B$19</f>
        <v>58.8865398123239</v>
      </c>
      <c r="M13" s="14" t="n">
        <f aca="false">K13+L13</f>
        <v>2622.94711115191</v>
      </c>
      <c r="N13" s="14" t="n">
        <f aca="false">J13-M13</f>
        <v>1981.37604517108</v>
      </c>
      <c r="O13" s="14" t="n">
        <f aca="false">Assumptions!$B$26+Assumptions!$B$28+Assumptions!$B$29+Assumptions!$B$30</f>
        <v>58.25</v>
      </c>
      <c r="P13" s="14" t="n">
        <f aca="false">N13-O13</f>
        <v>1923.12604517108</v>
      </c>
      <c r="Q13" s="14" t="n">
        <f aca="false">MAX(0,P13)*Assumptions!$B$23</f>
        <v>346.162688130795</v>
      </c>
      <c r="R13" s="14" t="n">
        <f aca="false">P13-Q13</f>
        <v>1576.96335704029</v>
      </c>
      <c r="S13" s="14" t="n">
        <f aca="false">S12+R13</f>
        <v>5844.54427903533</v>
      </c>
    </row>
    <row r="14" customFormat="false" ht="15" hidden="false" customHeight="false" outlineLevel="0" collapsed="false">
      <c r="A14" s="12" t="n">
        <v>12</v>
      </c>
      <c r="B14" s="13" t="n">
        <f aca="false">B13*(1+Assumptions!$B$6)</f>
        <v>1739.27499667276</v>
      </c>
      <c r="C14" s="13" t="n">
        <f aca="false">B14+D14</f>
        <v>3278.73130440265</v>
      </c>
      <c r="D14" s="13" t="n">
        <f aca="false">G13</f>
        <v>1539.45630772989</v>
      </c>
      <c r="E14" s="13" t="n">
        <f aca="false">B14*Assumptions!$B$7</f>
        <v>347.854999334552</v>
      </c>
      <c r="F14" s="13" t="n">
        <f aca="false">D14*Assumptions!$B$8</f>
        <v>123.156504618391</v>
      </c>
      <c r="G14" s="13" t="n">
        <f aca="false">D14+E14-F14</f>
        <v>1764.15480244605</v>
      </c>
      <c r="H14" s="14" t="n">
        <f aca="false">AVERAGE(D14,G14)*(Assumptions!$B$11*(1-Assumptions!$B$13)+(Assumptions!$B$12/12)*Assumptions!$B$13)</f>
        <v>6224.00333157146</v>
      </c>
      <c r="I14" s="14" t="n">
        <f aca="false">H14*Assumptions!$B$22</f>
        <v>933.600499735719</v>
      </c>
      <c r="J14" s="14" t="n">
        <f aca="false">H14-I14</f>
        <v>5290.40283183574</v>
      </c>
      <c r="K14" s="14" t="n">
        <f aca="false">C14*Assumptions!$B$16+B14*Assumptions!$B$17</f>
        <v>2908.67085850934</v>
      </c>
      <c r="L14" s="14" t="n">
        <f aca="false">Assumptions!$B$18+C14*Assumptions!$B$19</f>
        <v>62.7873130440265</v>
      </c>
      <c r="M14" s="14" t="n">
        <f aca="false">K14+L14</f>
        <v>2971.45817155337</v>
      </c>
      <c r="N14" s="14" t="n">
        <f aca="false">J14-M14</f>
        <v>2318.94466028237</v>
      </c>
      <c r="O14" s="14" t="n">
        <f aca="false">Assumptions!$B$26+Assumptions!$B$28+Assumptions!$B$29+Assumptions!$B$30</f>
        <v>58.25</v>
      </c>
      <c r="P14" s="14" t="n">
        <f aca="false">N14-O14</f>
        <v>2260.69466028237</v>
      </c>
      <c r="Q14" s="14" t="n">
        <f aca="false">MAX(0,P14)*Assumptions!$B$23</f>
        <v>406.925038850827</v>
      </c>
      <c r="R14" s="14" t="n">
        <f aca="false">P14-Q14</f>
        <v>1853.76962143155</v>
      </c>
      <c r="S14" s="14" t="n">
        <f aca="false">S13+R14</f>
        <v>7698.31390046687</v>
      </c>
    </row>
    <row r="16" customFormat="false" ht="15" hidden="false" customHeight="false" outlineLevel="0" collapsed="false">
      <c r="A16" s="15" t="s">
        <v>64</v>
      </c>
      <c r="B16" s="16" t="n">
        <f aca="false">SUM(B3:B14)</f>
        <v>12066.5666356124</v>
      </c>
      <c r="C16" s="17"/>
      <c r="D16" s="17"/>
      <c r="E16" s="17"/>
      <c r="F16" s="17"/>
      <c r="G16" s="17"/>
      <c r="H16" s="18" t="n">
        <f aca="false">SUM(H3:H14)</f>
        <v>33899.0341600684</v>
      </c>
      <c r="I16" s="18" t="n">
        <f aca="false">SUM(I3:I14)</f>
        <v>5084.85512401026</v>
      </c>
      <c r="J16" s="18" t="n">
        <f aca="false">SUM(J3:J14)</f>
        <v>28814.1790360581</v>
      </c>
      <c r="K16" s="18" t="n">
        <f aca="false">SUM(K3:K14)</f>
        <v>17998.5506294505</v>
      </c>
      <c r="L16" s="18" t="n">
        <f aca="false">SUM(L3:L14)</f>
        <v>561.810481940678</v>
      </c>
      <c r="M16" s="18" t="n">
        <f aca="false">SUM(M3:M14)</f>
        <v>18560.3611113912</v>
      </c>
      <c r="N16" s="18" t="n">
        <f aca="false">SUM(N3:N14)</f>
        <v>10253.8179246669</v>
      </c>
      <c r="O16" s="18" t="n">
        <f aca="false">SUM(O3:O14)</f>
        <v>724</v>
      </c>
      <c r="P16" s="18" t="n">
        <f aca="false">SUM(P3:P14)</f>
        <v>9529.81792466692</v>
      </c>
      <c r="Q16" s="18" t="n">
        <f aca="false">SUM(Q3:Q14)</f>
        <v>1831.50402420005</v>
      </c>
      <c r="R16" s="18" t="n">
        <f aca="false">SUM(R3:R14)</f>
        <v>7698.31390046687</v>
      </c>
      <c r="S16" s="18" t="n">
        <f aca="false">S14</f>
        <v>7698.31390046687</v>
      </c>
    </row>
  </sheetData>
  <mergeCells count="1">
    <mergeCell ref="A1:S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65</v>
      </c>
      <c r="B1" s="1"/>
      <c r="C1" s="1"/>
    </row>
    <row r="3" customFormat="false" ht="15" hidden="false" customHeight="false" outlineLevel="0" collapsed="false">
      <c r="A3" s="3" t="s">
        <v>66</v>
      </c>
      <c r="B3" s="4"/>
      <c r="C3" s="4"/>
    </row>
    <row r="4" customFormat="false" ht="15" hidden="false" customHeight="false" outlineLevel="0" collapsed="false">
      <c r="A4" s="5" t="s">
        <v>67</v>
      </c>
      <c r="B4" s="19" t="n">
        <f aca="false">'Monthly Model'!B16</f>
        <v>12066.5666356124</v>
      </c>
      <c r="C4" s="7"/>
    </row>
    <row r="5" customFormat="false" ht="15" hidden="false" customHeight="false" outlineLevel="0" collapsed="false">
      <c r="A5" s="5" t="s">
        <v>68</v>
      </c>
      <c r="B5" s="19" t="n">
        <f aca="false">'Monthly Model'!G14</f>
        <v>1764.15480244605</v>
      </c>
      <c r="C5" s="7"/>
    </row>
    <row r="6" customFormat="false" ht="15" hidden="false" customHeight="false" outlineLevel="0" collapsed="false">
      <c r="A6" s="5" t="s">
        <v>69</v>
      </c>
      <c r="B6" s="20" t="n">
        <f aca="false">'Monthly Model'!H14</f>
        <v>6224.00333157146</v>
      </c>
      <c r="C6" s="7"/>
    </row>
    <row r="7" customFormat="false" ht="15" hidden="false" customHeight="false" outlineLevel="0" collapsed="false">
      <c r="A7" s="5" t="s">
        <v>70</v>
      </c>
      <c r="B7" s="20" t="n">
        <f aca="false">'Monthly Model'!H14*12</f>
        <v>74688.0399788576</v>
      </c>
      <c r="C7" s="7"/>
    </row>
    <row r="8" customFormat="false" ht="15" hidden="false" customHeight="false" outlineLevel="0" collapsed="false">
      <c r="A8" s="5" t="s">
        <v>71</v>
      </c>
      <c r="B8" s="20" t="n">
        <f aca="false">'Monthly Model'!H16</f>
        <v>33899.0341600684</v>
      </c>
      <c r="C8" s="7"/>
    </row>
    <row r="10" customFormat="false" ht="15" hidden="false" customHeight="false" outlineLevel="0" collapsed="false">
      <c r="A10" s="3" t="s">
        <v>72</v>
      </c>
      <c r="B10" s="4"/>
      <c r="C10" s="4"/>
    </row>
    <row r="11" customFormat="false" ht="15" hidden="false" customHeight="false" outlineLevel="0" collapsed="false">
      <c r="A11" s="5" t="s">
        <v>73</v>
      </c>
      <c r="B11" s="20" t="n">
        <f aca="false">'Monthly Model'!M16</f>
        <v>18560.3611113912</v>
      </c>
      <c r="C11" s="7"/>
    </row>
    <row r="12" customFormat="false" ht="15" hidden="false" customHeight="false" outlineLevel="0" collapsed="false">
      <c r="A12" s="5" t="s">
        <v>74</v>
      </c>
      <c r="B12" s="20" t="n">
        <f aca="false">'Monthly Model'!O16</f>
        <v>724</v>
      </c>
      <c r="C12" s="7"/>
    </row>
    <row r="13" customFormat="false" ht="15" hidden="false" customHeight="false" outlineLevel="0" collapsed="false">
      <c r="A13" s="5" t="s">
        <v>75</v>
      </c>
      <c r="B13" s="20" t="n">
        <f aca="false">'Monthly Model'!I16</f>
        <v>5084.85512401026</v>
      </c>
      <c r="C13" s="7"/>
    </row>
    <row r="14" customFormat="false" ht="15" hidden="false" customHeight="false" outlineLevel="0" collapsed="false">
      <c r="A14" s="5" t="s">
        <v>76</v>
      </c>
      <c r="B14" s="20" t="n">
        <f aca="false">'Monthly Model'!Q16</f>
        <v>1831.50402420005</v>
      </c>
      <c r="C14" s="7"/>
    </row>
    <row r="16" customFormat="false" ht="15" hidden="false" customHeight="false" outlineLevel="0" collapsed="false">
      <c r="A16" s="3" t="s">
        <v>77</v>
      </c>
      <c r="B16" s="4"/>
      <c r="C16" s="4"/>
    </row>
    <row r="17" customFormat="false" ht="15" hidden="false" customHeight="false" outlineLevel="0" collapsed="false">
      <c r="A17" s="5" t="s">
        <v>78</v>
      </c>
      <c r="B17" s="20" t="n">
        <f aca="false">'Monthly Model'!S14</f>
        <v>7698.31390046687</v>
      </c>
      <c r="C17" s="7"/>
    </row>
    <row r="18" customFormat="false" ht="15" hidden="false" customHeight="false" outlineLevel="0" collapsed="false">
      <c r="A18" s="5" t="s">
        <v>79</v>
      </c>
      <c r="B18" s="21" t="n">
        <f aca="false">'Monthly Model'!S14/'Monthly Model'!H16</f>
        <v>0.22709537575956</v>
      </c>
      <c r="C18" s="7"/>
    </row>
    <row r="19" customFormat="false" ht="15" hidden="false" customHeight="false" outlineLevel="0" collapsed="false">
      <c r="A19" s="5" t="s">
        <v>80</v>
      </c>
      <c r="B19" s="19" t="n">
        <f aca="false">IFERROR(INDEX('Monthly Model'!A3:A14,MATCH(TRUE(),INDEX('Monthly Model'!S3:S14&gt;0,0),0)),"not within 12 months")</f>
        <v>6</v>
      </c>
      <c r="C19" s="7" t="s">
        <v>81</v>
      </c>
    </row>
    <row r="21" customFormat="false" ht="15" hidden="false" customHeight="false" outlineLevel="0" collapsed="false">
      <c r="A21" s="7" t="s">
        <v>82</v>
      </c>
    </row>
    <row r="22" customFormat="false" ht="15" hidden="false" customHeight="false" outlineLevel="0" collapsed="false">
      <c r="A22" s="7" t="s">
        <v>83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2026-07-11T15:58:03Z</dcterms:created>
  <dc:creator>openpyxl</dc:creator>
  <dc:description/>
  <dc:language>ru-RU</dc:language>
  <cp:lastModifiedBy/>
  <dcterms:modified xsi:type="dcterms:W3CDTF">2026-07-11T15:58:03Z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