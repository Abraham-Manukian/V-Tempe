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Monthly Model" sheetId="3" state="visible" r:id="rId3"/>
    <sheet xmlns:r="http://schemas.openxmlformats.org/officeDocument/2006/relationships" name="Summary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"/>
    <numFmt numFmtId="166" formatCode="$#,##0.00;($#,##0.00);&quot;-&quot;"/>
    <numFmt numFmtId="167" formatCode="$#,##0;($#,##0);&quot;-&quot;"/>
    <numFmt numFmtId="168" formatCode="&quot;Month &quot;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0" fontId="6" fillId="4" borderId="1" applyAlignment="1" pivotButton="0" quotePrefix="0" xfId="0">
      <alignment horizontal="center" wrapText="1"/>
    </xf>
    <xf numFmtId="168" fontId="4" fillId="0" borderId="1" pivotButton="0" quotePrefix="0" xfId="0"/>
    <xf numFmtId="164" fontId="4" fillId="0" borderId="1" pivotButton="0" quotePrefix="0" xfId="0"/>
    <xf numFmtId="167" fontId="4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0" fontId="0" fillId="5" borderId="0" pivotButton="0" quotePrefix="0" xfId="0"/>
    <xf numFmtId="167" fontId="3" fillId="0" borderId="1" pivotButton="0" quotePrefix="0" xfId="0"/>
    <xf numFmtId="164" fontId="7" fillId="0" borderId="1" pivotButton="0" quotePrefix="0" xfId="0"/>
    <xf numFmtId="167" fontId="7" fillId="0" borderId="1" pivotButton="0" quotePrefix="0" xfId="0"/>
    <xf numFmtId="165" fontId="7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167" fontId="4" fillId="6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Projected Audience Growth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Summary'!$A$5:$A$16</f>
            </numRef>
          </cat>
          <val>
            <numRef>
              <f>'Monthly Summary'!$B$5:$B$16</f>
            </numRef>
          </val>
        </ser>
        <ser>
          <idx val="1"/>
          <order val="1"/>
          <tx>
            <strRef>
              <f>'Monthly Summary'!C4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Summary'!$A$5:$A$16</f>
            </numRef>
          </cat>
          <val>
            <numRef>
              <f>'Monthly Summary'!$C$5:$C$16</f>
            </numRef>
          </val>
        </ser>
        <ser>
          <idx val="2"/>
          <order val="2"/>
          <tx>
            <strRef>
              <f>'Monthly Summary'!D4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Summary'!$A$5:$A$16</f>
            </numRef>
          </cat>
          <val>
            <numRef>
              <f>'Monthly Summary'!$D$5:$D$16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Profit vs Cumulative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Summary'!$E$5:$E$16</f>
            </numRef>
          </val>
        </ser>
        <ser>
          <idx val="1"/>
          <order val="1"/>
          <tx>
            <strRef>
              <f>'Monthly 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5" customWidth="1" min="3" max="3"/>
  </cols>
  <sheetData>
    <row r="1">
      <c r="A1" s="1" t="inlineStr">
        <is>
          <t>V-Tempe — Financial Model Assumptions</t>
        </is>
      </c>
    </row>
    <row r="2">
      <c r="A2" s="2" t="inlineStr">
        <is>
          <t>Edit blue cells (yellow fill) to change the scenario. All other sheets recalculate automatically.</t>
        </is>
      </c>
    </row>
    <row r="4">
      <c r="A4" s="3" t="inlineStr">
        <is>
          <t>GROWTH &amp; CONVERSION</t>
        </is>
      </c>
      <c r="B4" s="4" t="n"/>
      <c r="C4" s="4" t="n"/>
    </row>
    <row r="5">
      <c r="A5" s="5" t="inlineStr">
        <is>
          <t>Month 1 new installs</t>
        </is>
      </c>
      <c r="B5" s="6" t="n">
        <v>500</v>
      </c>
      <c r="C5" s="2" t="inlineStr">
        <is>
          <t>Starting monthly new-install volume (organic/ASO, no paid marketing assumed)</t>
        </is>
      </c>
    </row>
    <row r="6">
      <c r="A6" s="5" t="inlineStr">
        <is>
          <t>Month-over-month install growth</t>
        </is>
      </c>
      <c r="B6" s="7" t="n">
        <v>0.12</v>
      </c>
      <c r="C6" s="2" t="inlineStr">
        <is>
          <t>Organic growth rate of new installs, compounding monthly</t>
        </is>
      </c>
    </row>
    <row r="7">
      <c r="A7" s="5" t="inlineStr">
        <is>
          <t>Trial-to-paid conversion rate</t>
        </is>
      </c>
      <c r="B7" s="7" t="n">
        <v>0.2</v>
      </c>
      <c r="C7" s="2" t="inlineStr">
        <is>
          <t>Share of new installs that convert to a paid subscription (assumes free trial, no perma-free tier)</t>
        </is>
      </c>
    </row>
    <row r="8">
      <c r="A8" s="5" t="inlineStr">
        <is>
          <t>Monthly churn (paying subscribers)</t>
        </is>
      </c>
      <c r="B8" s="7" t="n">
        <v>0.08</v>
      </c>
      <c r="C8" s="2" t="inlineStr">
        <is>
          <t>Typical range for consumer mobile subscriptions is 5-10%/month</t>
        </is>
      </c>
    </row>
    <row r="10">
      <c r="A10" s="3" t="inlineStr">
        <is>
          <t>PRICING</t>
        </is>
      </c>
      <c r="B10" s="4" t="n"/>
      <c r="C10" s="4" t="n"/>
    </row>
    <row r="11">
      <c r="A11" s="5" t="inlineStr">
        <is>
          <t>Monthly plan price</t>
        </is>
      </c>
      <c r="B11" s="8" t="n">
        <v>3.99</v>
      </c>
      <c r="C11" s="2" t="inlineStr">
        <is>
          <t>Price shown to user, before store commission</t>
        </is>
      </c>
    </row>
    <row r="12">
      <c r="A12" s="5" t="inlineStr">
        <is>
          <t>Annual plan price</t>
        </is>
      </c>
      <c r="B12" s="8" t="n">
        <v>39</v>
      </c>
      <c r="C12" s="2" t="inlineStr">
        <is>
          <t>Equivalent to $3.25/mo if paid annually</t>
        </is>
      </c>
    </row>
    <row r="13">
      <c r="A13" s="5" t="inlineStr">
        <is>
          <t>Share of subscribers on annual plan</t>
        </is>
      </c>
      <c r="B13" s="7" t="n">
        <v>0.3</v>
      </c>
      <c r="C13" s="2" t="inlineStr">
        <is>
          <t>Rest are on the monthly plan</t>
        </is>
      </c>
    </row>
    <row r="15">
      <c r="A15" s="3" t="inlineStr">
        <is>
          <t>COST OF SERVICE (COGS)</t>
        </is>
      </c>
      <c r="B15" s="4" t="n"/>
      <c r="C15" s="4" t="n"/>
    </row>
    <row r="16">
      <c r="A16" s="5" t="inlineStr">
        <is>
          <t>LLM cost per active user / month</t>
        </is>
      </c>
      <c r="B16" s="8" t="n">
        <v>0.85</v>
      </c>
      <c r="C16" s="2" t="inlineStr">
        <is>
          <t>OpenRouter (Gemini 2.5 Flash) cost for weekly plan regen + chat; includes buffer for retry waste until backlog item #22 is fixed</t>
        </is>
      </c>
    </row>
    <row r="17">
      <c r="A17" s="5" t="inlineStr">
        <is>
          <t>One-time LLM cost per new install (onboarding)</t>
        </is>
      </c>
      <c r="B17" s="8" t="n">
        <v>0.07000000000000001</v>
      </c>
      <c r="C17" s="2" t="inlineStr">
        <is>
          <t>First bootstrap generation (training+nutrition+sleep), decomposed calls incl. retries</t>
        </is>
      </c>
    </row>
    <row r="18">
      <c r="A18" s="5" t="inlineStr">
        <is>
          <t>Server fixed cost / month</t>
        </is>
      </c>
      <c r="B18" s="9" t="n">
        <v>30</v>
      </c>
      <c r="C18" s="2" t="inlineStr">
        <is>
          <t>Cloud Run baseline beyond GCP free tier, Secret Manager, logging</t>
        </is>
      </c>
    </row>
    <row r="19">
      <c r="A19" s="5" t="inlineStr">
        <is>
          <t>Server variable cost / active user / month</t>
        </is>
      </c>
      <c r="B19" s="8" t="n">
        <v>0.01</v>
      </c>
      <c r="C19" s="2" t="inlineStr">
        <is>
          <t>Buffer for scale beyond Cloud Run free tier (2M req, 360k GiB-s/mo free)</t>
        </is>
      </c>
    </row>
    <row r="21">
      <c r="A21" s="3" t="inlineStr">
        <is>
          <t>STORE &amp; TAX</t>
        </is>
      </c>
      <c r="B21" s="4" t="n"/>
      <c r="C21" s="4" t="n"/>
    </row>
    <row r="22">
      <c r="A22" s="5" t="inlineStr">
        <is>
          <t>App store commission</t>
        </is>
      </c>
      <c r="B22" s="7" t="n">
        <v>0.15</v>
      </c>
      <c r="C22" s="2" t="inlineStr">
        <is>
          <t>15% under Apple Small Business Program / Google Play first $1M-per-year tier; use 30% for the standard-tier scenario</t>
        </is>
      </c>
    </row>
    <row r="23">
      <c r="A23" s="5" t="inlineStr">
        <is>
          <t>Corporate tax rate (Armenia)</t>
        </is>
      </c>
      <c r="B23" s="7" t="n">
        <v>0.18</v>
      </c>
      <c r="C23" s="2" t="inlineStr">
        <is>
          <t>Standard AM profit tax ~18%. If IT-certification is obtained, this can drop toward 0% — verify current thresholds with a local accountant before relying on this.</t>
        </is>
      </c>
    </row>
    <row r="25">
      <c r="A25" s="3" t="inlineStr">
        <is>
          <t>FIXED OPERATING EXPENSES (non-COGS)</t>
        </is>
      </c>
      <c r="B25" s="4" t="n"/>
      <c r="C25" s="4" t="n"/>
    </row>
    <row r="26">
      <c r="A26" s="5" t="inlineStr">
        <is>
          <t>Apple Developer Program (annual, amortized)</t>
        </is>
      </c>
      <c r="B26" s="8" t="n">
        <v>8.25</v>
      </c>
      <c r="C26" s="2" t="inlineStr">
        <is>
          <t>$99/year ÷ 12</t>
        </is>
      </c>
    </row>
    <row r="27">
      <c r="A27" s="5" t="inlineStr">
        <is>
          <t>Google Play (one-time, month 1 only)</t>
        </is>
      </c>
      <c r="B27" s="9" t="n">
        <v>25</v>
      </c>
      <c r="C27" s="2" t="inlineStr">
        <is>
          <t>One-time registration fee</t>
        </is>
      </c>
    </row>
    <row r="28">
      <c r="A28" s="5" t="inlineStr">
        <is>
          <t>Tools &amp; misc / month</t>
        </is>
      </c>
      <c r="B28" s="9" t="n">
        <v>50</v>
      </c>
      <c r="C28" s="2" t="inlineStr">
        <is>
          <t>Domain, monitoring, misc SaaS — placeholder, adjust to your actual stack</t>
        </is>
      </c>
    </row>
    <row r="29">
      <c r="A29" s="5" t="inlineStr">
        <is>
          <t>Founder salary / month</t>
        </is>
      </c>
      <c r="B29" s="9" t="n">
        <v>0</v>
      </c>
      <c r="C29" s="2" t="inlineStr">
        <is>
          <t>0 = pre-revenue solo founder draws nothing; set your real number once you want to pay yourself</t>
        </is>
      </c>
    </row>
    <row r="30">
      <c r="A30" s="5" t="inlineStr">
        <is>
          <t>Marketing spend / month</t>
        </is>
      </c>
      <c r="B30" s="9" t="n">
        <v>0</v>
      </c>
      <c r="C30" s="2" t="inlineStr">
        <is>
          <t>0 = organic growth only; set a budget to model paid acquisition (also raises Month-1 installs / growth rate above if used)</t>
        </is>
      </c>
    </row>
    <row r="32">
      <c r="A32" s="2" t="inlineStr">
        <is>
          <t>Legend: yellow fill = edit these; black = formulas; green = link to another sheet.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20" customWidth="1" min="5" max="5"/>
    <col width="24" customWidth="1" min="6" max="6"/>
  </cols>
  <sheetData>
    <row r="1">
      <c r="A1" s="1" t="inlineStr">
        <is>
          <t>V-Tempe — Projected Audience &amp; Profit by Month</t>
        </is>
      </c>
    </row>
    <row r="2">
      <c r="A2" s="2" t="inlineStr">
        <is>
          <t>All figures link live to the Monthly Model tab — change any assumption and this table updates.</t>
        </is>
      </c>
    </row>
    <row r="3">
      <c r="A3" s="2" t="inlineStr">
        <is>
          <t>Green cumulative-profit cell = break-even reached; red = still recovering Month-1 losses.</t>
        </is>
      </c>
    </row>
    <row r="4">
      <c r="A4" s="10" t="inlineStr">
        <is>
          <t>Month</t>
        </is>
      </c>
      <c r="B4" s="10" t="inlineStr">
        <is>
          <t>New Installs</t>
        </is>
      </c>
      <c r="C4" s="10" t="inlineStr">
        <is>
          <t>Total Active Users</t>
        </is>
      </c>
      <c r="D4" s="10" t="inlineStr">
        <is>
          <t>Paying Subscribers</t>
        </is>
      </c>
      <c r="E4" s="10" t="inlineStr">
        <is>
          <t>Net Profit / (Loss)</t>
        </is>
      </c>
      <c r="F4" s="10" t="inlineStr">
        <is>
          <t>Cumulative Profit / (Loss)</t>
        </is>
      </c>
    </row>
    <row r="5">
      <c r="A5" s="21">
        <f>'Monthly Model'!A3</f>
        <v/>
      </c>
      <c r="B5" s="22">
        <f>'Monthly Model'!B3</f>
        <v/>
      </c>
      <c r="C5" s="22">
        <f>'Monthly Model'!C3</f>
        <v/>
      </c>
      <c r="D5" s="22">
        <f>'Monthly Model'!G3</f>
        <v/>
      </c>
      <c r="E5" s="23">
        <f>'Monthly Model'!R3</f>
        <v/>
      </c>
      <c r="F5" s="24">
        <f>'Monthly Model'!S3</f>
        <v/>
      </c>
    </row>
    <row r="6">
      <c r="A6" s="21">
        <f>'Monthly Model'!A4</f>
        <v/>
      </c>
      <c r="B6" s="22">
        <f>'Monthly Model'!B4</f>
        <v/>
      </c>
      <c r="C6" s="22">
        <f>'Monthly Model'!C4</f>
        <v/>
      </c>
      <c r="D6" s="22">
        <f>'Monthly Model'!G4</f>
        <v/>
      </c>
      <c r="E6" s="23">
        <f>'Monthly Model'!R4</f>
        <v/>
      </c>
      <c r="F6" s="24">
        <f>'Monthly Model'!S4</f>
        <v/>
      </c>
    </row>
    <row r="7">
      <c r="A7" s="21">
        <f>'Monthly Model'!A5</f>
        <v/>
      </c>
      <c r="B7" s="22">
        <f>'Monthly Model'!B5</f>
        <v/>
      </c>
      <c r="C7" s="22">
        <f>'Monthly Model'!C5</f>
        <v/>
      </c>
      <c r="D7" s="22">
        <f>'Monthly Model'!G5</f>
        <v/>
      </c>
      <c r="E7" s="23">
        <f>'Monthly Model'!R5</f>
        <v/>
      </c>
      <c r="F7" s="24">
        <f>'Monthly Model'!S5</f>
        <v/>
      </c>
    </row>
    <row r="8">
      <c r="A8" s="21">
        <f>'Monthly Model'!A6</f>
        <v/>
      </c>
      <c r="B8" s="22">
        <f>'Monthly Model'!B6</f>
        <v/>
      </c>
      <c r="C8" s="22">
        <f>'Monthly Model'!C6</f>
        <v/>
      </c>
      <c r="D8" s="22">
        <f>'Monthly Model'!G6</f>
        <v/>
      </c>
      <c r="E8" s="23">
        <f>'Monthly Model'!R6</f>
        <v/>
      </c>
      <c r="F8" s="24">
        <f>'Monthly Model'!S6</f>
        <v/>
      </c>
    </row>
    <row r="9">
      <c r="A9" s="21">
        <f>'Monthly Model'!A7</f>
        <v/>
      </c>
      <c r="B9" s="22">
        <f>'Monthly Model'!B7</f>
        <v/>
      </c>
      <c r="C9" s="22">
        <f>'Monthly Model'!C7</f>
        <v/>
      </c>
      <c r="D9" s="22">
        <f>'Monthly Model'!G7</f>
        <v/>
      </c>
      <c r="E9" s="23">
        <f>'Monthly Model'!R7</f>
        <v/>
      </c>
      <c r="F9" s="24">
        <f>'Monthly Model'!S7</f>
        <v/>
      </c>
    </row>
    <row r="10">
      <c r="A10" s="21">
        <f>'Monthly Model'!A8</f>
        <v/>
      </c>
      <c r="B10" s="22">
        <f>'Monthly Model'!B8</f>
        <v/>
      </c>
      <c r="C10" s="22">
        <f>'Monthly Model'!C8</f>
        <v/>
      </c>
      <c r="D10" s="22">
        <f>'Monthly Model'!G8</f>
        <v/>
      </c>
      <c r="E10" s="23">
        <f>'Monthly Model'!R8</f>
        <v/>
      </c>
      <c r="F10" s="24">
        <f>'Monthly Model'!S8</f>
        <v/>
      </c>
    </row>
    <row r="11">
      <c r="A11" s="21">
        <f>'Monthly Model'!A9</f>
        <v/>
      </c>
      <c r="B11" s="22">
        <f>'Monthly Model'!B9</f>
        <v/>
      </c>
      <c r="C11" s="22">
        <f>'Monthly Model'!C9</f>
        <v/>
      </c>
      <c r="D11" s="22">
        <f>'Monthly Model'!G9</f>
        <v/>
      </c>
      <c r="E11" s="23">
        <f>'Monthly Model'!R9</f>
        <v/>
      </c>
      <c r="F11" s="24">
        <f>'Monthly Model'!S9</f>
        <v/>
      </c>
    </row>
    <row r="12">
      <c r="A12" s="21">
        <f>'Monthly Model'!A10</f>
        <v/>
      </c>
      <c r="B12" s="22">
        <f>'Monthly Model'!B10</f>
        <v/>
      </c>
      <c r="C12" s="22">
        <f>'Monthly Model'!C10</f>
        <v/>
      </c>
      <c r="D12" s="22">
        <f>'Monthly Model'!G10</f>
        <v/>
      </c>
      <c r="E12" s="23">
        <f>'Monthly Model'!R10</f>
        <v/>
      </c>
      <c r="F12" s="24">
        <f>'Monthly Model'!S10</f>
        <v/>
      </c>
    </row>
    <row r="13">
      <c r="A13" s="21">
        <f>'Monthly Model'!A11</f>
        <v/>
      </c>
      <c r="B13" s="22">
        <f>'Monthly Model'!B11</f>
        <v/>
      </c>
      <c r="C13" s="22">
        <f>'Monthly Model'!C11</f>
        <v/>
      </c>
      <c r="D13" s="22">
        <f>'Monthly Model'!G11</f>
        <v/>
      </c>
      <c r="E13" s="23">
        <f>'Monthly Model'!R11</f>
        <v/>
      </c>
      <c r="F13" s="24">
        <f>'Monthly Model'!S11</f>
        <v/>
      </c>
    </row>
    <row r="14">
      <c r="A14" s="21">
        <f>'Monthly Model'!A12</f>
        <v/>
      </c>
      <c r="B14" s="22">
        <f>'Monthly Model'!B12</f>
        <v/>
      </c>
      <c r="C14" s="22">
        <f>'Monthly Model'!C12</f>
        <v/>
      </c>
      <c r="D14" s="22">
        <f>'Monthly Model'!G12</f>
        <v/>
      </c>
      <c r="E14" s="23">
        <f>'Monthly Model'!R12</f>
        <v/>
      </c>
      <c r="F14" s="24">
        <f>'Monthly Model'!S12</f>
        <v/>
      </c>
    </row>
    <row r="15">
      <c r="A15" s="21">
        <f>'Monthly Model'!A13</f>
        <v/>
      </c>
      <c r="B15" s="22">
        <f>'Monthly Model'!B13</f>
        <v/>
      </c>
      <c r="C15" s="22">
        <f>'Monthly Model'!C13</f>
        <v/>
      </c>
      <c r="D15" s="22">
        <f>'Monthly Model'!G13</f>
        <v/>
      </c>
      <c r="E15" s="23">
        <f>'Monthly Model'!R13</f>
        <v/>
      </c>
      <c r="F15" s="24">
        <f>'Monthly Model'!S13</f>
        <v/>
      </c>
    </row>
    <row r="16">
      <c r="A16" s="21">
        <f>'Monthly Model'!A14</f>
        <v/>
      </c>
      <c r="B16" s="22">
        <f>'Monthly Model'!B14</f>
        <v/>
      </c>
      <c r="C16" s="22">
        <f>'Monthly Model'!C14</f>
        <v/>
      </c>
      <c r="D16" s="22">
        <f>'Monthly Model'!G14</f>
        <v/>
      </c>
      <c r="E16" s="23">
        <f>'Monthly Model'!R14</f>
        <v/>
      </c>
      <c r="F16" s="24">
        <f>'Monthly Model'!S14</f>
        <v/>
      </c>
    </row>
    <row r="18">
      <c r="A18" s="25" t="inlineStr">
        <is>
          <t>YEAR 1</t>
        </is>
      </c>
      <c r="B18" s="15">
        <f>SUM(B5:B16)</f>
        <v/>
      </c>
      <c r="E18" s="17">
        <f>SUM(E5:E16)</f>
        <v/>
      </c>
      <c r="F18" s="17">
        <f>F16</f>
        <v/>
      </c>
    </row>
  </sheetData>
  <mergeCells count="3">
    <mergeCell ref="A3:F3"/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V-Tempe — 12-Month Financial Model</t>
        </is>
      </c>
    </row>
    <row r="2">
      <c r="A2" s="10" t="inlineStr">
        <is>
          <t>Month</t>
        </is>
      </c>
      <c r="B2" s="10" t="inlineStr">
        <is>
          <t>New Installs</t>
        </is>
      </c>
      <c r="C2" s="10" t="inlineStr">
        <is>
          <t>Active Users (cost base)</t>
        </is>
      </c>
      <c r="D2" s="10" t="inlineStr">
        <is>
          <t>Paying Subs (begin)</t>
        </is>
      </c>
      <c r="E2" s="10" t="inlineStr">
        <is>
          <t>New Conversions</t>
        </is>
      </c>
      <c r="F2" s="10" t="inlineStr">
        <is>
          <t>Churned Subs</t>
        </is>
      </c>
      <c r="G2" s="10" t="inlineStr">
        <is>
          <t>Paying Subs (end)</t>
        </is>
      </c>
      <c r="H2" s="10" t="inlineStr">
        <is>
          <t>Gross Revenue</t>
        </is>
      </c>
      <c r="I2" s="10" t="inlineStr">
        <is>
          <t>Store Commission</t>
        </is>
      </c>
      <c r="J2" s="10" t="inlineStr">
        <is>
          <t>Net Revenue</t>
        </is>
      </c>
      <c r="K2" s="10" t="inlineStr">
        <is>
          <t>LLM Cost</t>
        </is>
      </c>
      <c r="L2" s="10" t="inlineStr">
        <is>
          <t>Server Cost</t>
        </is>
      </c>
      <c r="M2" s="10" t="inlineStr">
        <is>
          <t>Total COGS</t>
        </is>
      </c>
      <c r="N2" s="10" t="inlineStr">
        <is>
          <t>Gross Profit</t>
        </is>
      </c>
      <c r="O2" s="10" t="inlineStr">
        <is>
          <t>OpEx</t>
        </is>
      </c>
      <c r="P2" s="10" t="inlineStr">
        <is>
          <t>Pretax Profit</t>
        </is>
      </c>
      <c r="Q2" s="10" t="inlineStr">
        <is>
          <t>Tax</t>
        </is>
      </c>
      <c r="R2" s="10" t="inlineStr">
        <is>
          <t>Net Profit</t>
        </is>
      </c>
      <c r="S2" s="10" t="inlineStr">
        <is>
          <t>Cumulative Net Profit</t>
        </is>
      </c>
    </row>
    <row r="3">
      <c r="A3" s="11" t="n">
        <v>1</v>
      </c>
      <c r="B3" s="12">
        <f>Assumptions!$B$5</f>
        <v/>
      </c>
      <c r="C3" s="12">
        <f>B3+D3</f>
        <v/>
      </c>
      <c r="D3" s="12" t="n">
        <v>0</v>
      </c>
      <c r="E3" s="12">
        <f>B3*Assumptions!$B$7</f>
        <v/>
      </c>
      <c r="F3" s="12">
        <f>D3*Assumptions!$B$8</f>
        <v/>
      </c>
      <c r="G3" s="12">
        <f>D3+E3-F3</f>
        <v/>
      </c>
      <c r="H3" s="13">
        <f>AVERAGE(D3,G3)*(Assumptions!$B$11*(1-Assumptions!$B$13)+(Assumptions!$B$12/12)*Assumptions!$B$13)</f>
        <v/>
      </c>
      <c r="I3" s="13">
        <f>H3*Assumptions!$B$22</f>
        <v/>
      </c>
      <c r="J3" s="13">
        <f>H3-I3</f>
        <v/>
      </c>
      <c r="K3" s="13">
        <f>C3*Assumptions!$B$16+B3*Assumptions!$B$17</f>
        <v/>
      </c>
      <c r="L3" s="13">
        <f>Assumptions!$B$18+C3*Assumptions!$B$19</f>
        <v/>
      </c>
      <c r="M3" s="13">
        <f>K3+L3</f>
        <v/>
      </c>
      <c r="N3" s="13">
        <f>J3-M3</f>
        <v/>
      </c>
      <c r="O3" s="13">
        <f>Assumptions!$B$26+Assumptions!$B$28+Assumptions!$B$29+Assumptions!$B$30+Assumptions!$B$27</f>
        <v/>
      </c>
      <c r="P3" s="13">
        <f>N3-O3</f>
        <v/>
      </c>
      <c r="Q3" s="13">
        <f>MAX(0,P3)*Assumptions!$B$23</f>
        <v/>
      </c>
      <c r="R3" s="13">
        <f>P3-Q3</f>
        <v/>
      </c>
      <c r="S3" s="13">
        <f>R3</f>
        <v/>
      </c>
    </row>
    <row r="4">
      <c r="A4" s="11" t="n">
        <v>2</v>
      </c>
      <c r="B4" s="12">
        <f>B3*(1+Assumptions!$B$6)</f>
        <v/>
      </c>
      <c r="C4" s="12">
        <f>B4+D4</f>
        <v/>
      </c>
      <c r="D4" s="12">
        <f>G3</f>
        <v/>
      </c>
      <c r="E4" s="12">
        <f>B4*Assumptions!$B$7</f>
        <v/>
      </c>
      <c r="F4" s="12">
        <f>D4*Assumptions!$B$8</f>
        <v/>
      </c>
      <c r="G4" s="12">
        <f>D4+E4-F4</f>
        <v/>
      </c>
      <c r="H4" s="13">
        <f>AVERAGE(D4,G4)*(Assumptions!$B$11*(1-Assumptions!$B$13)+(Assumptions!$B$12/12)*Assumptions!$B$13)</f>
        <v/>
      </c>
      <c r="I4" s="13">
        <f>H4*Assumptions!$B$22</f>
        <v/>
      </c>
      <c r="J4" s="13">
        <f>H4-I4</f>
        <v/>
      </c>
      <c r="K4" s="13">
        <f>C4*Assumptions!$B$16+B4*Assumptions!$B$17</f>
        <v/>
      </c>
      <c r="L4" s="13">
        <f>Assumptions!$B$18+C4*Assumptions!$B$19</f>
        <v/>
      </c>
      <c r="M4" s="13">
        <f>K4+L4</f>
        <v/>
      </c>
      <c r="N4" s="13">
        <f>J4-M4</f>
        <v/>
      </c>
      <c r="O4" s="13">
        <f>Assumptions!$B$26+Assumptions!$B$28+Assumptions!$B$29+Assumptions!$B$30</f>
        <v/>
      </c>
      <c r="P4" s="13">
        <f>N4-O4</f>
        <v/>
      </c>
      <c r="Q4" s="13">
        <f>MAX(0,P4)*Assumptions!$B$23</f>
        <v/>
      </c>
      <c r="R4" s="13">
        <f>P4-Q4</f>
        <v/>
      </c>
      <c r="S4" s="13">
        <f>S3+R4</f>
        <v/>
      </c>
    </row>
    <row r="5">
      <c r="A5" s="11" t="n">
        <v>3</v>
      </c>
      <c r="B5" s="12">
        <f>B4*(1+Assumptions!$B$6)</f>
        <v/>
      </c>
      <c r="C5" s="12">
        <f>B5+D5</f>
        <v/>
      </c>
      <c r="D5" s="12">
        <f>G4</f>
        <v/>
      </c>
      <c r="E5" s="12">
        <f>B5*Assumptions!$B$7</f>
        <v/>
      </c>
      <c r="F5" s="12">
        <f>D5*Assumptions!$B$8</f>
        <v/>
      </c>
      <c r="G5" s="12">
        <f>D5+E5-F5</f>
        <v/>
      </c>
      <c r="H5" s="13">
        <f>AVERAGE(D5,G5)*(Assumptions!$B$11*(1-Assumptions!$B$13)+(Assumptions!$B$12/12)*Assumptions!$B$13)</f>
        <v/>
      </c>
      <c r="I5" s="13">
        <f>H5*Assumptions!$B$22</f>
        <v/>
      </c>
      <c r="J5" s="13">
        <f>H5-I5</f>
        <v/>
      </c>
      <c r="K5" s="13">
        <f>C5*Assumptions!$B$16+B5*Assumptions!$B$17</f>
        <v/>
      </c>
      <c r="L5" s="13">
        <f>Assumptions!$B$18+C5*Assumptions!$B$19</f>
        <v/>
      </c>
      <c r="M5" s="13">
        <f>K5+L5</f>
        <v/>
      </c>
      <c r="N5" s="13">
        <f>J5-M5</f>
        <v/>
      </c>
      <c r="O5" s="13">
        <f>Assumptions!$B$26+Assumptions!$B$28+Assumptions!$B$29+Assumptions!$B$30</f>
        <v/>
      </c>
      <c r="P5" s="13">
        <f>N5-O5</f>
        <v/>
      </c>
      <c r="Q5" s="13">
        <f>MAX(0,P5)*Assumptions!$B$23</f>
        <v/>
      </c>
      <c r="R5" s="13">
        <f>P5-Q5</f>
        <v/>
      </c>
      <c r="S5" s="13">
        <f>S4+R5</f>
        <v/>
      </c>
    </row>
    <row r="6">
      <c r="A6" s="11" t="n">
        <v>4</v>
      </c>
      <c r="B6" s="12">
        <f>B5*(1+Assumptions!$B$6)</f>
        <v/>
      </c>
      <c r="C6" s="12">
        <f>B6+D6</f>
        <v/>
      </c>
      <c r="D6" s="12">
        <f>G5</f>
        <v/>
      </c>
      <c r="E6" s="12">
        <f>B6*Assumptions!$B$7</f>
        <v/>
      </c>
      <c r="F6" s="12">
        <f>D6*Assumptions!$B$8</f>
        <v/>
      </c>
      <c r="G6" s="12">
        <f>D6+E6-F6</f>
        <v/>
      </c>
      <c r="H6" s="13">
        <f>AVERAGE(D6,G6)*(Assumptions!$B$11*(1-Assumptions!$B$13)+(Assumptions!$B$12/12)*Assumptions!$B$13)</f>
        <v/>
      </c>
      <c r="I6" s="13">
        <f>H6*Assumptions!$B$22</f>
        <v/>
      </c>
      <c r="J6" s="13">
        <f>H6-I6</f>
        <v/>
      </c>
      <c r="K6" s="13">
        <f>C6*Assumptions!$B$16+B6*Assumptions!$B$17</f>
        <v/>
      </c>
      <c r="L6" s="13">
        <f>Assumptions!$B$18+C6*Assumptions!$B$19</f>
        <v/>
      </c>
      <c r="M6" s="13">
        <f>K6+L6</f>
        <v/>
      </c>
      <c r="N6" s="13">
        <f>J6-M6</f>
        <v/>
      </c>
      <c r="O6" s="13">
        <f>Assumptions!$B$26+Assumptions!$B$28+Assumptions!$B$29+Assumptions!$B$30</f>
        <v/>
      </c>
      <c r="P6" s="13">
        <f>N6-O6</f>
        <v/>
      </c>
      <c r="Q6" s="13">
        <f>MAX(0,P6)*Assumptions!$B$23</f>
        <v/>
      </c>
      <c r="R6" s="13">
        <f>P6-Q6</f>
        <v/>
      </c>
      <c r="S6" s="13">
        <f>S5+R6</f>
        <v/>
      </c>
    </row>
    <row r="7">
      <c r="A7" s="11" t="n">
        <v>5</v>
      </c>
      <c r="B7" s="12">
        <f>B6*(1+Assumptions!$B$6)</f>
        <v/>
      </c>
      <c r="C7" s="12">
        <f>B7+D7</f>
        <v/>
      </c>
      <c r="D7" s="12">
        <f>G6</f>
        <v/>
      </c>
      <c r="E7" s="12">
        <f>B7*Assumptions!$B$7</f>
        <v/>
      </c>
      <c r="F7" s="12">
        <f>D7*Assumptions!$B$8</f>
        <v/>
      </c>
      <c r="G7" s="12">
        <f>D7+E7-F7</f>
        <v/>
      </c>
      <c r="H7" s="13">
        <f>AVERAGE(D7,G7)*(Assumptions!$B$11*(1-Assumptions!$B$13)+(Assumptions!$B$12/12)*Assumptions!$B$13)</f>
        <v/>
      </c>
      <c r="I7" s="13">
        <f>H7*Assumptions!$B$22</f>
        <v/>
      </c>
      <c r="J7" s="13">
        <f>H7-I7</f>
        <v/>
      </c>
      <c r="K7" s="13">
        <f>C7*Assumptions!$B$16+B7*Assumptions!$B$17</f>
        <v/>
      </c>
      <c r="L7" s="13">
        <f>Assumptions!$B$18+C7*Assumptions!$B$19</f>
        <v/>
      </c>
      <c r="M7" s="13">
        <f>K7+L7</f>
        <v/>
      </c>
      <c r="N7" s="13">
        <f>J7-M7</f>
        <v/>
      </c>
      <c r="O7" s="13">
        <f>Assumptions!$B$26+Assumptions!$B$28+Assumptions!$B$29+Assumptions!$B$30</f>
        <v/>
      </c>
      <c r="P7" s="13">
        <f>N7-O7</f>
        <v/>
      </c>
      <c r="Q7" s="13">
        <f>MAX(0,P7)*Assumptions!$B$23</f>
        <v/>
      </c>
      <c r="R7" s="13">
        <f>P7-Q7</f>
        <v/>
      </c>
      <c r="S7" s="13">
        <f>S6+R7</f>
        <v/>
      </c>
    </row>
    <row r="8">
      <c r="A8" s="11" t="n">
        <v>6</v>
      </c>
      <c r="B8" s="12">
        <f>B7*(1+Assumptions!$B$6)</f>
        <v/>
      </c>
      <c r="C8" s="12">
        <f>B8+D8</f>
        <v/>
      </c>
      <c r="D8" s="12">
        <f>G7</f>
        <v/>
      </c>
      <c r="E8" s="12">
        <f>B8*Assumptions!$B$7</f>
        <v/>
      </c>
      <c r="F8" s="12">
        <f>D8*Assumptions!$B$8</f>
        <v/>
      </c>
      <c r="G8" s="12">
        <f>D8+E8-F8</f>
        <v/>
      </c>
      <c r="H8" s="13">
        <f>AVERAGE(D8,G8)*(Assumptions!$B$11*(1-Assumptions!$B$13)+(Assumptions!$B$12/12)*Assumptions!$B$13)</f>
        <v/>
      </c>
      <c r="I8" s="13">
        <f>H8*Assumptions!$B$22</f>
        <v/>
      </c>
      <c r="J8" s="13">
        <f>H8-I8</f>
        <v/>
      </c>
      <c r="K8" s="13">
        <f>C8*Assumptions!$B$16+B8*Assumptions!$B$17</f>
        <v/>
      </c>
      <c r="L8" s="13">
        <f>Assumptions!$B$18+C8*Assumptions!$B$19</f>
        <v/>
      </c>
      <c r="M8" s="13">
        <f>K8+L8</f>
        <v/>
      </c>
      <c r="N8" s="13">
        <f>J8-M8</f>
        <v/>
      </c>
      <c r="O8" s="13">
        <f>Assumptions!$B$26+Assumptions!$B$28+Assumptions!$B$29+Assumptions!$B$30</f>
        <v/>
      </c>
      <c r="P8" s="13">
        <f>N8-O8</f>
        <v/>
      </c>
      <c r="Q8" s="13">
        <f>MAX(0,P8)*Assumptions!$B$23</f>
        <v/>
      </c>
      <c r="R8" s="13">
        <f>P8-Q8</f>
        <v/>
      </c>
      <c r="S8" s="13">
        <f>S7+R8</f>
        <v/>
      </c>
    </row>
    <row r="9">
      <c r="A9" s="11" t="n">
        <v>7</v>
      </c>
      <c r="B9" s="12">
        <f>B8*(1+Assumptions!$B$6)</f>
        <v/>
      </c>
      <c r="C9" s="12">
        <f>B9+D9</f>
        <v/>
      </c>
      <c r="D9" s="12">
        <f>G8</f>
        <v/>
      </c>
      <c r="E9" s="12">
        <f>B9*Assumptions!$B$7</f>
        <v/>
      </c>
      <c r="F9" s="12">
        <f>D9*Assumptions!$B$8</f>
        <v/>
      </c>
      <c r="G9" s="12">
        <f>D9+E9-F9</f>
        <v/>
      </c>
      <c r="H9" s="13">
        <f>AVERAGE(D9,G9)*(Assumptions!$B$11*(1-Assumptions!$B$13)+(Assumptions!$B$12/12)*Assumptions!$B$13)</f>
        <v/>
      </c>
      <c r="I9" s="13">
        <f>H9*Assumptions!$B$22</f>
        <v/>
      </c>
      <c r="J9" s="13">
        <f>H9-I9</f>
        <v/>
      </c>
      <c r="K9" s="13">
        <f>C9*Assumptions!$B$16+B9*Assumptions!$B$17</f>
        <v/>
      </c>
      <c r="L9" s="13">
        <f>Assumptions!$B$18+C9*Assumptions!$B$19</f>
        <v/>
      </c>
      <c r="M9" s="13">
        <f>K9+L9</f>
        <v/>
      </c>
      <c r="N9" s="13">
        <f>J9-M9</f>
        <v/>
      </c>
      <c r="O9" s="13">
        <f>Assumptions!$B$26+Assumptions!$B$28+Assumptions!$B$29+Assumptions!$B$30</f>
        <v/>
      </c>
      <c r="P9" s="13">
        <f>N9-O9</f>
        <v/>
      </c>
      <c r="Q9" s="13">
        <f>MAX(0,P9)*Assumptions!$B$23</f>
        <v/>
      </c>
      <c r="R9" s="13">
        <f>P9-Q9</f>
        <v/>
      </c>
      <c r="S9" s="13">
        <f>S8+R9</f>
        <v/>
      </c>
    </row>
    <row r="10">
      <c r="A10" s="11" t="n">
        <v>8</v>
      </c>
      <c r="B10" s="12">
        <f>B9*(1+Assumptions!$B$6)</f>
        <v/>
      </c>
      <c r="C10" s="12">
        <f>B10+D10</f>
        <v/>
      </c>
      <c r="D10" s="12">
        <f>G9</f>
        <v/>
      </c>
      <c r="E10" s="12">
        <f>B10*Assumptions!$B$7</f>
        <v/>
      </c>
      <c r="F10" s="12">
        <f>D10*Assumptions!$B$8</f>
        <v/>
      </c>
      <c r="G10" s="12">
        <f>D10+E10-F10</f>
        <v/>
      </c>
      <c r="H10" s="13">
        <f>AVERAGE(D10,G10)*(Assumptions!$B$11*(1-Assumptions!$B$13)+(Assumptions!$B$12/12)*Assumptions!$B$13)</f>
        <v/>
      </c>
      <c r="I10" s="13">
        <f>H10*Assumptions!$B$22</f>
        <v/>
      </c>
      <c r="J10" s="13">
        <f>H10-I10</f>
        <v/>
      </c>
      <c r="K10" s="13">
        <f>C10*Assumptions!$B$16+B10*Assumptions!$B$17</f>
        <v/>
      </c>
      <c r="L10" s="13">
        <f>Assumptions!$B$18+C10*Assumptions!$B$19</f>
        <v/>
      </c>
      <c r="M10" s="13">
        <f>K10+L10</f>
        <v/>
      </c>
      <c r="N10" s="13">
        <f>J10-M10</f>
        <v/>
      </c>
      <c r="O10" s="13">
        <f>Assumptions!$B$26+Assumptions!$B$28+Assumptions!$B$29+Assumptions!$B$30</f>
        <v/>
      </c>
      <c r="P10" s="13">
        <f>N10-O10</f>
        <v/>
      </c>
      <c r="Q10" s="13">
        <f>MAX(0,P10)*Assumptions!$B$23</f>
        <v/>
      </c>
      <c r="R10" s="13">
        <f>P10-Q10</f>
        <v/>
      </c>
      <c r="S10" s="13">
        <f>S9+R10</f>
        <v/>
      </c>
    </row>
    <row r="11">
      <c r="A11" s="11" t="n">
        <v>9</v>
      </c>
      <c r="B11" s="12">
        <f>B10*(1+Assumptions!$B$6)</f>
        <v/>
      </c>
      <c r="C11" s="12">
        <f>B11+D11</f>
        <v/>
      </c>
      <c r="D11" s="12">
        <f>G10</f>
        <v/>
      </c>
      <c r="E11" s="12">
        <f>B11*Assumptions!$B$7</f>
        <v/>
      </c>
      <c r="F11" s="12">
        <f>D11*Assumptions!$B$8</f>
        <v/>
      </c>
      <c r="G11" s="12">
        <f>D11+E11-F11</f>
        <v/>
      </c>
      <c r="H11" s="13">
        <f>AVERAGE(D11,G11)*(Assumptions!$B$11*(1-Assumptions!$B$13)+(Assumptions!$B$12/12)*Assumptions!$B$13)</f>
        <v/>
      </c>
      <c r="I11" s="13">
        <f>H11*Assumptions!$B$22</f>
        <v/>
      </c>
      <c r="J11" s="13">
        <f>H11-I11</f>
        <v/>
      </c>
      <c r="K11" s="13">
        <f>C11*Assumptions!$B$16+B11*Assumptions!$B$17</f>
        <v/>
      </c>
      <c r="L11" s="13">
        <f>Assumptions!$B$18+C11*Assumptions!$B$19</f>
        <v/>
      </c>
      <c r="M11" s="13">
        <f>K11+L11</f>
        <v/>
      </c>
      <c r="N11" s="13">
        <f>J11-M11</f>
        <v/>
      </c>
      <c r="O11" s="13">
        <f>Assumptions!$B$26+Assumptions!$B$28+Assumptions!$B$29+Assumptions!$B$30</f>
        <v/>
      </c>
      <c r="P11" s="13">
        <f>N11-O11</f>
        <v/>
      </c>
      <c r="Q11" s="13">
        <f>MAX(0,P11)*Assumptions!$B$23</f>
        <v/>
      </c>
      <c r="R11" s="13">
        <f>P11-Q11</f>
        <v/>
      </c>
      <c r="S11" s="13">
        <f>S10+R11</f>
        <v/>
      </c>
    </row>
    <row r="12">
      <c r="A12" s="11" t="n">
        <v>10</v>
      </c>
      <c r="B12" s="12">
        <f>B11*(1+Assumptions!$B$6)</f>
        <v/>
      </c>
      <c r="C12" s="12">
        <f>B12+D12</f>
        <v/>
      </c>
      <c r="D12" s="12">
        <f>G11</f>
        <v/>
      </c>
      <c r="E12" s="12">
        <f>B12*Assumptions!$B$7</f>
        <v/>
      </c>
      <c r="F12" s="12">
        <f>D12*Assumptions!$B$8</f>
        <v/>
      </c>
      <c r="G12" s="12">
        <f>D12+E12-F12</f>
        <v/>
      </c>
      <c r="H12" s="13">
        <f>AVERAGE(D12,G12)*(Assumptions!$B$11*(1-Assumptions!$B$13)+(Assumptions!$B$12/12)*Assumptions!$B$13)</f>
        <v/>
      </c>
      <c r="I12" s="13">
        <f>H12*Assumptions!$B$22</f>
        <v/>
      </c>
      <c r="J12" s="13">
        <f>H12-I12</f>
        <v/>
      </c>
      <c r="K12" s="13">
        <f>C12*Assumptions!$B$16+B12*Assumptions!$B$17</f>
        <v/>
      </c>
      <c r="L12" s="13">
        <f>Assumptions!$B$18+C12*Assumptions!$B$19</f>
        <v/>
      </c>
      <c r="M12" s="13">
        <f>K12+L12</f>
        <v/>
      </c>
      <c r="N12" s="13">
        <f>J12-M12</f>
        <v/>
      </c>
      <c r="O12" s="13">
        <f>Assumptions!$B$26+Assumptions!$B$28+Assumptions!$B$29+Assumptions!$B$30</f>
        <v/>
      </c>
      <c r="P12" s="13">
        <f>N12-O12</f>
        <v/>
      </c>
      <c r="Q12" s="13">
        <f>MAX(0,P12)*Assumptions!$B$23</f>
        <v/>
      </c>
      <c r="R12" s="13">
        <f>P12-Q12</f>
        <v/>
      </c>
      <c r="S12" s="13">
        <f>S11+R12</f>
        <v/>
      </c>
    </row>
    <row r="13">
      <c r="A13" s="11" t="n">
        <v>11</v>
      </c>
      <c r="B13" s="12">
        <f>B12*(1+Assumptions!$B$6)</f>
        <v/>
      </c>
      <c r="C13" s="12">
        <f>B13+D13</f>
        <v/>
      </c>
      <c r="D13" s="12">
        <f>G12</f>
        <v/>
      </c>
      <c r="E13" s="12">
        <f>B13*Assumptions!$B$7</f>
        <v/>
      </c>
      <c r="F13" s="12">
        <f>D13*Assumptions!$B$8</f>
        <v/>
      </c>
      <c r="G13" s="12">
        <f>D13+E13-F13</f>
        <v/>
      </c>
      <c r="H13" s="13">
        <f>AVERAGE(D13,G13)*(Assumptions!$B$11*(1-Assumptions!$B$13)+(Assumptions!$B$12/12)*Assumptions!$B$13)</f>
        <v/>
      </c>
      <c r="I13" s="13">
        <f>H13*Assumptions!$B$22</f>
        <v/>
      </c>
      <c r="J13" s="13">
        <f>H13-I13</f>
        <v/>
      </c>
      <c r="K13" s="13">
        <f>C13*Assumptions!$B$16+B13*Assumptions!$B$17</f>
        <v/>
      </c>
      <c r="L13" s="13">
        <f>Assumptions!$B$18+C13*Assumptions!$B$19</f>
        <v/>
      </c>
      <c r="M13" s="13">
        <f>K13+L13</f>
        <v/>
      </c>
      <c r="N13" s="13">
        <f>J13-M13</f>
        <v/>
      </c>
      <c r="O13" s="13">
        <f>Assumptions!$B$26+Assumptions!$B$28+Assumptions!$B$29+Assumptions!$B$30</f>
        <v/>
      </c>
      <c r="P13" s="13">
        <f>N13-O13</f>
        <v/>
      </c>
      <c r="Q13" s="13">
        <f>MAX(0,P13)*Assumptions!$B$23</f>
        <v/>
      </c>
      <c r="R13" s="13">
        <f>P13-Q13</f>
        <v/>
      </c>
      <c r="S13" s="13">
        <f>S12+R13</f>
        <v/>
      </c>
    </row>
    <row r="14">
      <c r="A14" s="11" t="n">
        <v>12</v>
      </c>
      <c r="B14" s="12">
        <f>B13*(1+Assumptions!$B$6)</f>
        <v/>
      </c>
      <c r="C14" s="12">
        <f>B14+D14</f>
        <v/>
      </c>
      <c r="D14" s="12">
        <f>G13</f>
        <v/>
      </c>
      <c r="E14" s="12">
        <f>B14*Assumptions!$B$7</f>
        <v/>
      </c>
      <c r="F14" s="12">
        <f>D14*Assumptions!$B$8</f>
        <v/>
      </c>
      <c r="G14" s="12">
        <f>D14+E14-F14</f>
        <v/>
      </c>
      <c r="H14" s="13">
        <f>AVERAGE(D14,G14)*(Assumptions!$B$11*(1-Assumptions!$B$13)+(Assumptions!$B$12/12)*Assumptions!$B$13)</f>
        <v/>
      </c>
      <c r="I14" s="13">
        <f>H14*Assumptions!$B$22</f>
        <v/>
      </c>
      <c r="J14" s="13">
        <f>H14-I14</f>
        <v/>
      </c>
      <c r="K14" s="13">
        <f>C14*Assumptions!$B$16+B14*Assumptions!$B$17</f>
        <v/>
      </c>
      <c r="L14" s="13">
        <f>Assumptions!$B$18+C14*Assumptions!$B$19</f>
        <v/>
      </c>
      <c r="M14" s="13">
        <f>K14+L14</f>
        <v/>
      </c>
      <c r="N14" s="13">
        <f>J14-M14</f>
        <v/>
      </c>
      <c r="O14" s="13">
        <f>Assumptions!$B$26+Assumptions!$B$28+Assumptions!$B$29+Assumptions!$B$30</f>
        <v/>
      </c>
      <c r="P14" s="13">
        <f>N14-O14</f>
        <v/>
      </c>
      <c r="Q14" s="13">
        <f>MAX(0,P14)*Assumptions!$B$23</f>
        <v/>
      </c>
      <c r="R14" s="13">
        <f>P14-Q14</f>
        <v/>
      </c>
      <c r="S14" s="13">
        <f>S13+R14</f>
        <v/>
      </c>
    </row>
    <row r="16">
      <c r="A16" s="14" t="inlineStr">
        <is>
          <t>YEAR 1 TOTAL</t>
        </is>
      </c>
      <c r="B16" s="15">
        <f>SUM(B3:B14)</f>
        <v/>
      </c>
      <c r="C16" s="16" t="n"/>
      <c r="D16" s="16" t="n"/>
      <c r="E16" s="16" t="n"/>
      <c r="F16" s="16" t="n"/>
      <c r="G16" s="16" t="n"/>
      <c r="H16" s="17">
        <f>SUM(H3:H14)</f>
        <v/>
      </c>
      <c r="I16" s="17">
        <f>SUM(I3:I14)</f>
        <v/>
      </c>
      <c r="J16" s="17">
        <f>SUM(J3:J14)</f>
        <v/>
      </c>
      <c r="K16" s="17">
        <f>SUM(K3:K14)</f>
        <v/>
      </c>
      <c r="L16" s="17">
        <f>SUM(L3:L14)</f>
        <v/>
      </c>
      <c r="M16" s="17">
        <f>SUM(M3:M14)</f>
        <v/>
      </c>
      <c r="N16" s="17">
        <f>SUM(N3:N14)</f>
        <v/>
      </c>
      <c r="O16" s="17">
        <f>SUM(O3:O14)</f>
        <v/>
      </c>
      <c r="P16" s="17">
        <f>SUM(P3:P14)</f>
        <v/>
      </c>
      <c r="Q16" s="17">
        <f>SUM(Q3:Q14)</f>
        <v/>
      </c>
      <c r="R16" s="17">
        <f>SUM(R3:R14)</f>
        <v/>
      </c>
      <c r="S16" s="17">
        <f>S14</f>
        <v/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5" customWidth="1" min="3" max="3"/>
  </cols>
  <sheetData>
    <row r="1">
      <c r="A1" s="1" t="inlineStr">
        <is>
          <t>V-Tempe — Year 1 Summary</t>
        </is>
      </c>
    </row>
    <row r="3">
      <c r="A3" s="3" t="inlineStr">
        <is>
          <t>REVENUE &amp; GROWTH</t>
        </is>
      </c>
      <c r="B3" s="4" t="n"/>
      <c r="C3" s="4" t="n"/>
    </row>
    <row r="4">
      <c r="A4" s="5" t="inlineStr">
        <is>
          <t>Total new installs (Year 1)</t>
        </is>
      </c>
      <c r="B4" s="18">
        <f>'Monthly Model'!B16</f>
        <v/>
      </c>
      <c r="C4" s="2" t="inlineStr"/>
    </row>
    <row r="5">
      <c r="A5" s="5" t="inlineStr">
        <is>
          <t>Paying subscribers (Month 12, ending)</t>
        </is>
      </c>
      <c r="B5" s="18">
        <f>'Monthly Model'!G14</f>
        <v/>
      </c>
      <c r="C5" s="2" t="inlineStr"/>
    </row>
    <row r="6">
      <c r="A6" s="5" t="inlineStr">
        <is>
          <t>Exit MRR (Month 12 gross revenue)</t>
        </is>
      </c>
      <c r="B6" s="19">
        <f>'Monthly Model'!H14</f>
        <v/>
      </c>
      <c r="C6" s="2" t="inlineStr"/>
    </row>
    <row r="7">
      <c r="A7" s="5" t="inlineStr">
        <is>
          <t>Exit ARR (annualized)</t>
        </is>
      </c>
      <c r="B7" s="19">
        <f>'Monthly Model'!H14*12</f>
        <v/>
      </c>
      <c r="C7" s="2" t="inlineStr"/>
    </row>
    <row r="8">
      <c r="A8" s="5" t="inlineStr">
        <is>
          <t>Year 1 gross revenue</t>
        </is>
      </c>
      <c r="B8" s="19">
        <f>'Monthly Model'!H16</f>
        <v/>
      </c>
      <c r="C8" s="2" t="inlineStr"/>
    </row>
    <row r="10">
      <c r="A10" s="3" t="inlineStr">
        <is>
          <t>COSTS</t>
        </is>
      </c>
      <c r="B10" s="4" t="n"/>
      <c r="C10" s="4" t="n"/>
    </row>
    <row r="11">
      <c r="A11" s="5" t="inlineStr">
        <is>
          <t>Year 1 total COGS (LLM + server)</t>
        </is>
      </c>
      <c r="B11" s="19">
        <f>'Monthly Model'!M16</f>
        <v/>
      </c>
      <c r="C11" s="2" t="inlineStr"/>
    </row>
    <row r="12">
      <c r="A12" s="5" t="inlineStr">
        <is>
          <t>Year 1 total OpEx</t>
        </is>
      </c>
      <c r="B12" s="19">
        <f>'Monthly Model'!O16</f>
        <v/>
      </c>
      <c r="C12" s="2" t="inlineStr"/>
    </row>
    <row r="13">
      <c r="A13" s="5" t="inlineStr">
        <is>
          <t>Year 1 total store commission</t>
        </is>
      </c>
      <c r="B13" s="19">
        <f>'Monthly Model'!I16</f>
        <v/>
      </c>
      <c r="C13" s="2" t="inlineStr"/>
    </row>
    <row r="14">
      <c r="A14" s="5" t="inlineStr">
        <is>
          <t>Year 1 total tax</t>
        </is>
      </c>
      <c r="B14" s="19">
        <f>'Monthly Model'!Q16</f>
        <v/>
      </c>
      <c r="C14" s="2" t="inlineStr"/>
    </row>
    <row r="16">
      <c r="A16" s="3" t="inlineStr">
        <is>
          <t>PROFITABILITY</t>
        </is>
      </c>
      <c r="B16" s="4" t="n"/>
      <c r="C16" s="4" t="n"/>
    </row>
    <row r="17">
      <c r="A17" s="5" t="inlineStr">
        <is>
          <t>Year 1 net profit / (loss)</t>
        </is>
      </c>
      <c r="B17" s="19">
        <f>'Monthly Model'!S14</f>
        <v/>
      </c>
      <c r="C17" s="2" t="inlineStr"/>
    </row>
    <row r="18">
      <c r="A18" s="5" t="inlineStr">
        <is>
          <t>Net margin (Year 1 net profit / gross revenue)</t>
        </is>
      </c>
      <c r="B18" s="20">
        <f>'Monthly Model'!S14/'Monthly Model'!H16</f>
        <v/>
      </c>
      <c r="C18" s="2" t="inlineStr"/>
    </row>
    <row r="19">
      <c r="A19" s="5" t="inlineStr">
        <is>
          <t>First month cumulative profit turns positive</t>
        </is>
      </c>
      <c r="B19" s="18">
        <f>IFERROR(INDEX('Monthly Model'!A3:A14,MATCH(TRUE,INDEX('Monthly Model'!S3:S14&gt;0,0),0)),"not within 12 months")</f>
        <v/>
      </c>
      <c r="C19" s="2" t="inlineStr">
        <is>
          <t>Break-even month (first month where cumulative net profit &gt; 0)</t>
        </is>
      </c>
    </row>
    <row r="21">
      <c r="A21" s="2" t="inlineStr">
        <is>
          <t>Note: this model assumes no paid user acquisition beyond the marketing-spend line in Assumptions.</t>
        </is>
      </c>
    </row>
    <row r="22">
      <c r="A22" s="2" t="inlineStr">
        <is>
          <t>If churn/conversion turn out worse than assumed, re-run with more conservative inputs on the Assumptions tab.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2026-07-11T15:58:03Z</dcterms:created>
  <dcterms:modified xmlns:dcterms="http://purl.org/dc/terms/" xmlns:xsi="http://www.w3.org/2001/XMLSchema-instance" xsi:type="dcterms:W3CDTF">2026-07-11T16:46:46Z</dcterms:modified>
</cp:coreProperties>
</file>