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Monthly Model" sheetId="3" state="visible" r:id="rId3"/>
    <sheet xmlns:r="http://schemas.openxmlformats.org/officeDocument/2006/relationships" name="Summary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0.0%"/>
    <numFmt numFmtId="166" formatCode="\$#,##0;&quot;($&quot;#,##0\);\-"/>
    <numFmt numFmtId="167" formatCode="\$#,##0.00;&quot;($&quot;#,##0.00\);\-"/>
    <numFmt numFmtId="168" formatCode="&quot;Month &quot;0"/>
    <numFmt numFmtId="169" formatCode="0.0"/>
    <numFmt numFmtId="170" formatCode="0.0\x"/>
    <numFmt numFmtId="171" formatCode="#,##0;(#,##0);&quot;-&quot;"/>
    <numFmt numFmtId="172" formatCode="$#,##0;($#,##0);&quot;-&quot;"/>
  </numFmts>
  <fonts count="16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 wrapText="1"/>
    </xf>
    <xf numFmtId="168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9" fontId="10" fillId="0" borderId="1" applyAlignment="1" pivotButton="0" quotePrefix="0" xfId="0">
      <alignment horizontal="general" vertical="bottom"/>
    </xf>
    <xf numFmtId="170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13" fillId="7" borderId="2" applyAlignment="1" pivotButton="0" quotePrefix="0" xfId="0">
      <alignment horizontal="center" wrapText="1"/>
    </xf>
    <xf numFmtId="0" fontId="14" fillId="0" borderId="2" applyAlignment="1" pivotButton="0" quotePrefix="0" xfId="0">
      <alignment horizontal="center"/>
    </xf>
    <xf numFmtId="171" fontId="14" fillId="0" borderId="2" applyAlignment="1" pivotButton="0" quotePrefix="0" xfId="0">
      <alignment horizontal="center"/>
    </xf>
    <xf numFmtId="172" fontId="14" fillId="0" borderId="2" applyAlignment="1" pivotButton="0" quotePrefix="0" xfId="0">
      <alignment horizontal="center"/>
    </xf>
    <xf numFmtId="172" fontId="14" fillId="8" borderId="2" applyAlignment="1" pivotButton="0" quotePrefix="0" xfId="0">
      <alignment horizontal="center"/>
    </xf>
    <xf numFmtId="172" fontId="14" fillId="9" borderId="2" applyAlignment="1" pivotButton="0" quotePrefix="0" xfId="0">
      <alignment horizontal="center"/>
    </xf>
    <xf numFmtId="0" fontId="15" fillId="0" borderId="2" pivotButton="0" quotePrefix="0" xfId="0"/>
    <xf numFmtId="171" fontId="15" fillId="0" borderId="2" pivotButton="0" quotePrefix="0" xfId="0"/>
    <xf numFmtId="172" fontId="15" fillId="0" borderId="2" pivotButton="0" quotePrefix="0" xfId="0"/>
    <xf numFmtId="0" fontId="9" fillId="4" borderId="1" applyAlignment="1" pivotButton="0" quotePrefix="0" xfId="0">
      <alignment horizontal="center" vertical="bottom" wrapText="1"/>
    </xf>
    <xf numFmtId="168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9" fontId="10" fillId="0" borderId="1" applyAlignment="1" pivotButton="0" quotePrefix="0" xfId="0">
      <alignment horizontal="general" vertical="bottom"/>
    </xf>
    <xf numFmtId="170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Audience Growth &amp; Investor Marketing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Summary'!$B$5:$B$16</f>
            </numRef>
          </val>
        </ser>
        <ser>
          <idx val="1"/>
          <order val="1"/>
          <tx>
            <strRef>
              <f>'Monthly Summary'!D4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Summary'!$D$5:$D$16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 /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Profit (excl. marketing) vs Cumulative Investor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Summary'!$F$5:$F$16</f>
            </numRef>
          </val>
        </ser>
        <ser>
          <idx val="1"/>
          <order val="1"/>
          <tx>
            <strRef>
              <f>'Monthly Summary'!G4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Summary'!$G$5:$G$16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8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6" customWidth="1" style="26" min="1" max="1"/>
    <col width="16" customWidth="1" style="26" min="2" max="2"/>
    <col width="64" customWidth="1" style="26" min="3" max="3"/>
  </cols>
  <sheetData>
    <row r="1" ht="17.35" customHeight="1" s="27">
      <c r="A1" s="28" t="inlineStr">
        <is>
          <t>V-Tempe — Financial Model Assumptions (v3, investor-funded marketing)</t>
        </is>
      </c>
    </row>
    <row r="2" ht="15" customHeight="1" s="27">
      <c r="A2" s="29" t="inlineStr">
        <is>
          <t>Edit blue/yellow cells to change the scenario. Marketing spend is modeled as investor capital, tracked separately from the product's own operating economics.</t>
        </is>
      </c>
    </row>
    <row r="4" ht="15" customHeight="1" s="27">
      <c r="A4" s="30" t="inlineStr">
        <is>
          <t>ORGANIC GROWTH (no ad spend)</t>
        </is>
      </c>
      <c r="B4" s="31" t="n"/>
      <c r="C4" s="31" t="n"/>
    </row>
    <row r="5" ht="15" customHeight="1" s="27">
      <c r="A5" s="32" t="inlineStr">
        <is>
          <t>Month 1 organic installs</t>
        </is>
      </c>
      <c r="B5" s="33" t="n">
        <v>400</v>
      </c>
      <c r="C5" s="29" t="inlineStr">
        <is>
          <t>Baseline installs with zero marketing spend — word of mouth, ASO, organic search</t>
        </is>
      </c>
    </row>
    <row r="6" ht="15" customHeight="1" s="27">
      <c r="A6" s="32" t="inlineStr">
        <is>
          <t>Organic month-over-month growth</t>
        </is>
      </c>
      <c r="B6" s="34" t="n">
        <v>0.06</v>
      </c>
      <c r="C6" s="29" t="inlineStr">
        <is>
          <t>Pure organic compounding growth</t>
        </is>
      </c>
    </row>
    <row r="8" ht="15" customHeight="1" s="27">
      <c r="A8" s="30" t="inlineStr">
        <is>
          <t>INVESTOR-FUNDED MARKETING</t>
        </is>
      </c>
      <c r="B8" s="31" t="n"/>
      <c r="C8" s="31" t="n"/>
    </row>
    <row r="9" ht="15" customHeight="1" s="27">
      <c r="A9" s="32" t="inlineStr">
        <is>
          <t>Marketing spend, Month 1</t>
        </is>
      </c>
      <c r="B9" s="35" t="n">
        <v>500</v>
      </c>
      <c r="C9" s="29" t="inlineStr">
        <is>
          <t>Starting monthly ad budget — funded by investor capital, not company operating cash</t>
        </is>
      </c>
    </row>
    <row r="10" ht="15" customHeight="1" s="27">
      <c r="A10" s="32" t="inlineStr">
        <is>
          <t>Marketing spend growth / month</t>
        </is>
      </c>
      <c r="B10" s="34" t="n">
        <v>0.15</v>
      </c>
      <c r="C10" s="29" t="inlineStr">
        <is>
          <t>How fast the investor budget scales up. Since it's investor-funded, this can be aggressive without threatening the product's own solvency — see Operating Profit (excl. marketing) below</t>
        </is>
      </c>
    </row>
    <row r="11" ht="15" customHeight="1" s="27">
      <c r="A11" s="32" t="inlineStr">
        <is>
          <t>Cost per paid install (CPI)</t>
        </is>
      </c>
      <c r="B11" s="36" t="n">
        <v>1.5</v>
      </c>
      <c r="C11" s="29" t="inlineStr">
        <is>
          <t>Typical mobile fitness-app CPI via Meta/Google UAC is $1-4 depending on region/channel — replace with your real number once you have live campaign data</t>
        </is>
      </c>
    </row>
    <row r="13" ht="15" customHeight="1" s="27">
      <c r="A13" s="30" t="inlineStr">
        <is>
          <t>CONVERSION &amp; RETENTION</t>
        </is>
      </c>
      <c r="B13" s="31" t="n"/>
      <c r="C13" s="31" t="n"/>
    </row>
    <row r="14" ht="15" customHeight="1" s="27">
      <c r="A14" s="32" t="inlineStr">
        <is>
          <t>Trial-to-paid conversion rate</t>
        </is>
      </c>
      <c r="B14" s="34" t="n">
        <v>0.2</v>
      </c>
      <c r="C14" s="29" t="inlineStr">
        <is>
          <t>Share of new installs (organic + paid combined) that convert to a paid subscription</t>
        </is>
      </c>
    </row>
    <row r="15" ht="15" customHeight="1" s="27">
      <c r="A15" s="32" t="inlineStr">
        <is>
          <t>Monthly churn (paying subscribers)</t>
        </is>
      </c>
      <c r="B15" s="34" t="n">
        <v>0.08</v>
      </c>
      <c r="C15" s="29" t="inlineStr">
        <is>
          <t>Typical range for consumer mobile subscriptions is 5-10%/month</t>
        </is>
      </c>
    </row>
    <row r="17" ht="15" customHeight="1" s="27">
      <c r="A17" s="30" t="inlineStr">
        <is>
          <t>PRICING</t>
        </is>
      </c>
      <c r="B17" s="31" t="n"/>
      <c r="C17" s="31" t="n"/>
    </row>
    <row r="18" ht="15" customHeight="1" s="27">
      <c r="A18" s="32" t="inlineStr">
        <is>
          <t>Monthly plan price</t>
        </is>
      </c>
      <c r="B18" s="36" t="n">
        <v>3.99</v>
      </c>
      <c r="C18" s="29" t="inlineStr">
        <is>
          <t>Price shown to user, before store commission</t>
        </is>
      </c>
    </row>
    <row r="19" ht="15" customHeight="1" s="27">
      <c r="A19" s="32" t="inlineStr">
        <is>
          <t>Annual plan price</t>
        </is>
      </c>
      <c r="B19" s="36" t="n">
        <v>39</v>
      </c>
      <c r="C19" s="29" t="inlineStr">
        <is>
          <t>Equivalent to $3.25/mo if paid annually</t>
        </is>
      </c>
    </row>
    <row r="20" ht="15" customHeight="1" s="27">
      <c r="A20" s="32" t="inlineStr">
        <is>
          <t>Share of subscribers on annual plan</t>
        </is>
      </c>
      <c r="B20" s="34" t="n">
        <v>0.3</v>
      </c>
      <c r="C20" s="29" t="inlineStr">
        <is>
          <t>Rest are on the monthly plan</t>
        </is>
      </c>
    </row>
    <row r="22" ht="15" customHeight="1" s="27">
      <c r="A22" s="30" t="inlineStr">
        <is>
          <t>COST OF SERVICE (COGS)</t>
        </is>
      </c>
      <c r="B22" s="31" t="n"/>
      <c r="C22" s="31" t="n"/>
    </row>
    <row r="23" ht="15" customHeight="1" s="27">
      <c r="A23" s="32" t="inlineStr">
        <is>
          <t>LLM cost per active user / month</t>
        </is>
      </c>
      <c r="B23" s="36" t="n">
        <v>0.85</v>
      </c>
      <c r="C23" s="29" t="inlineStr">
        <is>
          <t>OpenRouter (Gemini 2.5 Flash) cost for weekly plan regen + chat; includes buffer for retry waste until backlog item #22 is fixed</t>
        </is>
      </c>
    </row>
    <row r="24" ht="15" customHeight="1" s="27">
      <c r="A24" s="32" t="inlineStr">
        <is>
          <t>One-time LLM cost per new install (onboarding)</t>
        </is>
      </c>
      <c r="B24" s="36" t="n">
        <v>0.07000000000000001</v>
      </c>
      <c r="C24" s="29" t="inlineStr">
        <is>
          <t>First bootstrap generation (training+nutrition+sleep), decomposed calls incl. retries</t>
        </is>
      </c>
    </row>
    <row r="25" ht="15" customHeight="1" s="27">
      <c r="A25" s="32" t="inlineStr">
        <is>
          <t>Server fixed cost / month</t>
        </is>
      </c>
      <c r="B25" s="35" t="n">
        <v>30</v>
      </c>
      <c r="C25" s="29" t="inlineStr">
        <is>
          <t>Cloud Run baseline beyond GCP free tier, Secret Manager, logging</t>
        </is>
      </c>
    </row>
    <row r="26" ht="15" customHeight="1" s="27">
      <c r="A26" s="32" t="inlineStr">
        <is>
          <t>Server variable cost / active user / month</t>
        </is>
      </c>
      <c r="B26" s="36" t="n">
        <v>0.01</v>
      </c>
      <c r="C26" s="29" t="inlineStr">
        <is>
          <t>Buffer for scale beyond Cloud Run free tier (2M req, 360k GiB-s/mo free)</t>
        </is>
      </c>
    </row>
    <row r="28" ht="15" customHeight="1" s="27">
      <c r="A28" s="30" t="inlineStr">
        <is>
          <t>STORE &amp; TAX</t>
        </is>
      </c>
      <c r="B28" s="31" t="n"/>
      <c r="C28" s="31" t="n"/>
    </row>
    <row r="29" ht="15" customHeight="1" s="27">
      <c r="A29" s="32" t="inlineStr">
        <is>
          <t>App store commission</t>
        </is>
      </c>
      <c r="B29" s="34" t="n">
        <v>0.15</v>
      </c>
      <c r="C29" s="29" t="inlineStr">
        <is>
          <t>15% under Apple Small Business Program / Google Play first $1M-per-year tier; use 30% for the standard-tier scenario</t>
        </is>
      </c>
    </row>
    <row r="30" ht="15" customHeight="1" s="27">
      <c r="A30" s="32" t="inlineStr">
        <is>
          <t>Corporate tax rate (Armenia)</t>
        </is>
      </c>
      <c r="B30" s="34" t="n">
        <v>0.18</v>
      </c>
      <c r="C30" s="29" t="inlineStr">
        <is>
          <t>Standard AM profit tax ~18%. If IT-certification is obtained, this can drop toward 0% — verify current thresholds with a local accountant before relying on this.</t>
        </is>
      </c>
    </row>
    <row r="32" ht="15" customHeight="1" s="27">
      <c r="A32" s="30" t="inlineStr">
        <is>
          <t>CORE OPERATING EXPENSES (self-funded, excl. marketing)</t>
        </is>
      </c>
      <c r="B32" s="31" t="n"/>
      <c r="C32" s="31" t="n"/>
    </row>
    <row r="33" ht="15" customHeight="1" s="27">
      <c r="A33" s="32" t="inlineStr">
        <is>
          <t>Apple Developer Program (annual, amortized)</t>
        </is>
      </c>
      <c r="B33" s="36" t="n">
        <v>8.25</v>
      </c>
      <c r="C33" s="29" t="inlineStr">
        <is>
          <t>$99/year ÷ 12</t>
        </is>
      </c>
    </row>
    <row r="34" ht="15" customHeight="1" s="27">
      <c r="A34" s="32" t="inlineStr">
        <is>
          <t>Google Play (one-time, month 1 only)</t>
        </is>
      </c>
      <c r="B34" s="35" t="n">
        <v>25</v>
      </c>
      <c r="C34" s="29" t="inlineStr">
        <is>
          <t>One-time registration fee</t>
        </is>
      </c>
    </row>
    <row r="35" ht="15" customHeight="1" s="27">
      <c r="A35" s="32" t="inlineStr">
        <is>
          <t>Tools &amp; misc / month</t>
        </is>
      </c>
      <c r="B35" s="35" t="n">
        <v>50</v>
      </c>
      <c r="C35" s="29" t="inlineStr">
        <is>
          <t>Domain, monitoring, misc SaaS — placeholder, adjust to your actual stack</t>
        </is>
      </c>
    </row>
    <row r="36" ht="15" customHeight="1" s="27">
      <c r="A36" s="32" t="inlineStr">
        <is>
          <t>Founder salary / month</t>
        </is>
      </c>
      <c r="B36" s="35" t="n">
        <v>0</v>
      </c>
      <c r="C36" s="29" t="inlineStr">
        <is>
          <t>0 = pre-revenue solo founder draws nothing; set your real number once you want to pay yourself</t>
        </is>
      </c>
    </row>
    <row r="38" ht="15" customHeight="1" s="27">
      <c r="A38" s="29" t="inlineStr">
        <is>
          <t>Legend: yellow fill = edit these; black = formulas; green = link to another sheet. Green table columns = your own product economics; orange = investor-funded growth spend.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7" min="1" max="1"/>
    <col width="16" customWidth="1" style="27" min="2" max="2"/>
    <col width="16" customWidth="1" style="27" min="3" max="3"/>
    <col width="16" customWidth="1" style="27" min="4" max="4"/>
    <col width="18" customWidth="1" style="27" min="5" max="5"/>
    <col width="18" customWidth="1" style="27" min="6" max="6"/>
    <col width="18" customWidth="1" style="27" min="7" max="7"/>
  </cols>
  <sheetData>
    <row r="1">
      <c r="A1" s="37" t="inlineStr">
        <is>
          <t>V-Tempe — Audience Growth &amp; Operating Profit by Month</t>
        </is>
      </c>
    </row>
    <row r="2">
      <c r="A2" s="38" t="inlineStr">
        <is>
          <t>Operating Profit excludes investor-funded marketing spend — it's your own product economics. All figures link live to Monthly Model.</t>
        </is>
      </c>
    </row>
    <row r="3">
      <c r="A3" s="38" t="inlineStr">
        <is>
          <t>Green cumulative-operating-profit cell = the product has paid back its own Month-1 losses; red = still recovering.</t>
        </is>
      </c>
    </row>
    <row r="4">
      <c r="A4" s="39" t="inlineStr">
        <is>
          <t>Month</t>
        </is>
      </c>
      <c r="B4" s="39" t="inlineStr">
        <is>
          <t>New Installs
(organic+paid)</t>
        </is>
      </c>
      <c r="C4" s="39" t="inlineStr">
        <is>
          <t>Marketing Spend
(investor)</t>
        </is>
      </c>
      <c r="D4" s="39" t="inlineStr">
        <is>
          <t>Paying Subscribers</t>
        </is>
      </c>
      <c r="E4" s="39" t="inlineStr">
        <is>
          <t>Operating Profit
(excl. marketing)</t>
        </is>
      </c>
      <c r="F4" s="39" t="inlineStr">
        <is>
          <t>Cumulative
Operating Profit</t>
        </is>
      </c>
      <c r="G4" s="39" t="inlineStr">
        <is>
          <t>Cumulative
Investor Spend</t>
        </is>
      </c>
    </row>
    <row r="5">
      <c r="A5" s="40">
        <f>'Monthly Model'!A3</f>
        <v/>
      </c>
      <c r="B5" s="41">
        <f>'Monthly Model'!E3</f>
        <v/>
      </c>
      <c r="C5" s="42">
        <f>'Monthly Model'!C3</f>
        <v/>
      </c>
      <c r="D5" s="41">
        <f>'Monthly Model'!J3</f>
        <v/>
      </c>
      <c r="E5" s="42">
        <f>'Monthly Model'!U3</f>
        <v/>
      </c>
      <c r="F5" s="43">
        <f>'Monthly Model'!V3</f>
        <v/>
      </c>
      <c r="G5" s="42">
        <f>'Monthly Model'!W3</f>
        <v/>
      </c>
    </row>
    <row r="6">
      <c r="A6" s="40">
        <f>'Monthly Model'!A4</f>
        <v/>
      </c>
      <c r="B6" s="41">
        <f>'Monthly Model'!E4</f>
        <v/>
      </c>
      <c r="C6" s="42">
        <f>'Monthly Model'!C4</f>
        <v/>
      </c>
      <c r="D6" s="41">
        <f>'Monthly Model'!J4</f>
        <v/>
      </c>
      <c r="E6" s="42">
        <f>'Monthly Model'!U4</f>
        <v/>
      </c>
      <c r="F6" s="43">
        <f>'Monthly Model'!V4</f>
        <v/>
      </c>
      <c r="G6" s="42">
        <f>'Monthly Model'!W4</f>
        <v/>
      </c>
    </row>
    <row r="7">
      <c r="A7" s="40">
        <f>'Monthly Model'!A5</f>
        <v/>
      </c>
      <c r="B7" s="41">
        <f>'Monthly Model'!E5</f>
        <v/>
      </c>
      <c r="C7" s="42">
        <f>'Monthly Model'!C5</f>
        <v/>
      </c>
      <c r="D7" s="41">
        <f>'Monthly Model'!J5</f>
        <v/>
      </c>
      <c r="E7" s="42">
        <f>'Monthly Model'!U5</f>
        <v/>
      </c>
      <c r="F7" s="43">
        <f>'Monthly Model'!V5</f>
        <v/>
      </c>
      <c r="G7" s="42">
        <f>'Monthly Model'!W5</f>
        <v/>
      </c>
    </row>
    <row r="8">
      <c r="A8" s="40">
        <f>'Monthly Model'!A6</f>
        <v/>
      </c>
      <c r="B8" s="41">
        <f>'Monthly Model'!E6</f>
        <v/>
      </c>
      <c r="C8" s="42">
        <f>'Monthly Model'!C6</f>
        <v/>
      </c>
      <c r="D8" s="41">
        <f>'Monthly Model'!J6</f>
        <v/>
      </c>
      <c r="E8" s="42">
        <f>'Monthly Model'!U6</f>
        <v/>
      </c>
      <c r="F8" s="43">
        <f>'Monthly Model'!V6</f>
        <v/>
      </c>
      <c r="G8" s="42">
        <f>'Monthly Model'!W6</f>
        <v/>
      </c>
    </row>
    <row r="9">
      <c r="A9" s="40">
        <f>'Monthly Model'!A7</f>
        <v/>
      </c>
      <c r="B9" s="41">
        <f>'Monthly Model'!E7</f>
        <v/>
      </c>
      <c r="C9" s="42">
        <f>'Monthly Model'!C7</f>
        <v/>
      </c>
      <c r="D9" s="41">
        <f>'Monthly Model'!J7</f>
        <v/>
      </c>
      <c r="E9" s="42">
        <f>'Monthly Model'!U7</f>
        <v/>
      </c>
      <c r="F9" s="43">
        <f>'Monthly Model'!V7</f>
        <v/>
      </c>
      <c r="G9" s="42">
        <f>'Monthly Model'!W7</f>
        <v/>
      </c>
    </row>
    <row r="10">
      <c r="A10" s="40">
        <f>'Monthly Model'!A8</f>
        <v/>
      </c>
      <c r="B10" s="41">
        <f>'Monthly Model'!E8</f>
        <v/>
      </c>
      <c r="C10" s="42">
        <f>'Monthly Model'!C8</f>
        <v/>
      </c>
      <c r="D10" s="41">
        <f>'Monthly Model'!J8</f>
        <v/>
      </c>
      <c r="E10" s="42">
        <f>'Monthly Model'!U8</f>
        <v/>
      </c>
      <c r="F10" s="44">
        <f>'Monthly Model'!V8</f>
        <v/>
      </c>
      <c r="G10" s="42">
        <f>'Monthly Model'!W8</f>
        <v/>
      </c>
    </row>
    <row r="11">
      <c r="A11" s="40">
        <f>'Monthly Model'!A9</f>
        <v/>
      </c>
      <c r="B11" s="41">
        <f>'Monthly Model'!E9</f>
        <v/>
      </c>
      <c r="C11" s="42">
        <f>'Monthly Model'!C9</f>
        <v/>
      </c>
      <c r="D11" s="41">
        <f>'Monthly Model'!J9</f>
        <v/>
      </c>
      <c r="E11" s="42">
        <f>'Monthly Model'!U9</f>
        <v/>
      </c>
      <c r="F11" s="44">
        <f>'Monthly Model'!V9</f>
        <v/>
      </c>
      <c r="G11" s="42">
        <f>'Monthly Model'!W9</f>
        <v/>
      </c>
    </row>
    <row r="12">
      <c r="A12" s="40">
        <f>'Monthly Model'!A10</f>
        <v/>
      </c>
      <c r="B12" s="41">
        <f>'Monthly Model'!E10</f>
        <v/>
      </c>
      <c r="C12" s="42">
        <f>'Monthly Model'!C10</f>
        <v/>
      </c>
      <c r="D12" s="41">
        <f>'Monthly Model'!J10</f>
        <v/>
      </c>
      <c r="E12" s="42">
        <f>'Monthly Model'!U10</f>
        <v/>
      </c>
      <c r="F12" s="44">
        <f>'Monthly Model'!V10</f>
        <v/>
      </c>
      <c r="G12" s="42">
        <f>'Monthly Model'!W10</f>
        <v/>
      </c>
    </row>
    <row r="13">
      <c r="A13" s="40">
        <f>'Monthly Model'!A11</f>
        <v/>
      </c>
      <c r="B13" s="41">
        <f>'Monthly Model'!E11</f>
        <v/>
      </c>
      <c r="C13" s="42">
        <f>'Monthly Model'!C11</f>
        <v/>
      </c>
      <c r="D13" s="41">
        <f>'Monthly Model'!J11</f>
        <v/>
      </c>
      <c r="E13" s="42">
        <f>'Monthly Model'!U11</f>
        <v/>
      </c>
      <c r="F13" s="44">
        <f>'Monthly Model'!V11</f>
        <v/>
      </c>
      <c r="G13" s="42">
        <f>'Monthly Model'!W11</f>
        <v/>
      </c>
    </row>
    <row r="14">
      <c r="A14" s="40">
        <f>'Monthly Model'!A12</f>
        <v/>
      </c>
      <c r="B14" s="41">
        <f>'Monthly Model'!E12</f>
        <v/>
      </c>
      <c r="C14" s="42">
        <f>'Monthly Model'!C12</f>
        <v/>
      </c>
      <c r="D14" s="41">
        <f>'Monthly Model'!J12</f>
        <v/>
      </c>
      <c r="E14" s="42">
        <f>'Monthly Model'!U12</f>
        <v/>
      </c>
      <c r="F14" s="44">
        <f>'Monthly Model'!V12</f>
        <v/>
      </c>
      <c r="G14" s="42">
        <f>'Monthly Model'!W12</f>
        <v/>
      </c>
    </row>
    <row r="15">
      <c r="A15" s="40">
        <f>'Monthly Model'!A13</f>
        <v/>
      </c>
      <c r="B15" s="41">
        <f>'Monthly Model'!E13</f>
        <v/>
      </c>
      <c r="C15" s="42">
        <f>'Monthly Model'!C13</f>
        <v/>
      </c>
      <c r="D15" s="41">
        <f>'Monthly Model'!J13</f>
        <v/>
      </c>
      <c r="E15" s="42">
        <f>'Monthly Model'!U13</f>
        <v/>
      </c>
      <c r="F15" s="44">
        <f>'Monthly Model'!V13</f>
        <v/>
      </c>
      <c r="G15" s="42">
        <f>'Monthly Model'!W13</f>
        <v/>
      </c>
    </row>
    <row r="16">
      <c r="A16" s="40">
        <f>'Monthly Model'!A14</f>
        <v/>
      </c>
      <c r="B16" s="41">
        <f>'Monthly Model'!E14</f>
        <v/>
      </c>
      <c r="C16" s="42">
        <f>'Monthly Model'!C14</f>
        <v/>
      </c>
      <c r="D16" s="41">
        <f>'Monthly Model'!J14</f>
        <v/>
      </c>
      <c r="E16" s="42">
        <f>'Monthly Model'!U14</f>
        <v/>
      </c>
      <c r="F16" s="44">
        <f>'Monthly Model'!V14</f>
        <v/>
      </c>
      <c r="G16" s="42">
        <f>'Monthly Model'!W14</f>
        <v/>
      </c>
    </row>
    <row r="18">
      <c r="A18" s="45" t="inlineStr">
        <is>
          <t>YEAR 1</t>
        </is>
      </c>
      <c r="B18" s="46">
        <f>SUM(B5:B16)</f>
        <v/>
      </c>
      <c r="C18" s="47">
        <f>SUM(C5:C16)</f>
        <v/>
      </c>
      <c r="E18" s="47">
        <f>SUM(E5:E16)</f>
        <v/>
      </c>
      <c r="F18" s="47">
        <f>F16</f>
        <v/>
      </c>
      <c r="G18" s="47">
        <f>G16</f>
        <v/>
      </c>
    </row>
  </sheetData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5" customWidth="1" style="26" min="1" max="23"/>
  </cols>
  <sheetData>
    <row r="1" ht="17.35" customHeight="1" s="27">
      <c r="A1" s="28" t="inlineStr">
        <is>
          <t>V-Tempe — 12-Month Financial Model (v3): Operating Profit vs Investor-Funded Growth</t>
        </is>
      </c>
    </row>
    <row r="2" ht="77.59999999999999" customHeight="1" s="27">
      <c r="A2" s="48" t="inlineStr">
        <is>
          <t>Month</t>
        </is>
      </c>
      <c r="B2" s="48" t="inlineStr">
        <is>
          <t>Organic Installs</t>
        </is>
      </c>
      <c r="C2" s="48" t="inlineStr">
        <is>
          <t>Marketing Spend
(investor)</t>
        </is>
      </c>
      <c r="D2" s="48" t="inlineStr">
        <is>
          <t>Paid Installs</t>
        </is>
      </c>
      <c r="E2" s="48" t="inlineStr">
        <is>
          <t>New Installs (Total)</t>
        </is>
      </c>
      <c r="F2" s="48" t="inlineStr">
        <is>
          <t>Active Users (cost base)</t>
        </is>
      </c>
      <c r="G2" s="48" t="inlineStr">
        <is>
          <t>Paying Subs (begin)</t>
        </is>
      </c>
      <c r="H2" s="48" t="inlineStr">
        <is>
          <t>New Conversions</t>
        </is>
      </c>
      <c r="I2" s="48" t="inlineStr">
        <is>
          <t>Churned Subs</t>
        </is>
      </c>
      <c r="J2" s="48" t="inlineStr">
        <is>
          <t>Paying Subs (end)</t>
        </is>
      </c>
      <c r="K2" s="48" t="inlineStr">
        <is>
          <t>Gross Revenue</t>
        </is>
      </c>
      <c r="L2" s="48" t="inlineStr">
        <is>
          <t>Store Commission</t>
        </is>
      </c>
      <c r="M2" s="48" t="inlineStr">
        <is>
          <t>Net Revenue</t>
        </is>
      </c>
      <c r="N2" s="48" t="inlineStr">
        <is>
          <t>LLM Cost</t>
        </is>
      </c>
      <c r="O2" s="48" t="inlineStr">
        <is>
          <t>Server Cost</t>
        </is>
      </c>
      <c r="P2" s="48" t="inlineStr">
        <is>
          <t>Total COGS</t>
        </is>
      </c>
      <c r="Q2" s="48" t="inlineStr">
        <is>
          <t>Gross Profit</t>
        </is>
      </c>
      <c r="R2" s="48" t="inlineStr">
        <is>
          <t>Core OpEx
(self-funded)</t>
        </is>
      </c>
      <c r="S2" s="48" t="inlineStr">
        <is>
          <t>Operating Pretax
(excl. marketing)</t>
        </is>
      </c>
      <c r="T2" s="48" t="inlineStr">
        <is>
          <t>Operating Tax</t>
        </is>
      </c>
      <c r="U2" s="48" t="inlineStr">
        <is>
          <t>Operating Profit
(excl. marketing)</t>
        </is>
      </c>
      <c r="V2" s="48" t="inlineStr">
        <is>
          <t>Cumulative Operating Profit</t>
        </is>
      </c>
      <c r="W2" s="48" t="inlineStr">
        <is>
          <t>Cumulative Marketing Spend
(investor capital deployed)</t>
        </is>
      </c>
    </row>
    <row r="3" ht="15" customHeight="1" s="27">
      <c r="A3" s="49" t="n">
        <v>1</v>
      </c>
      <c r="B3" s="50">
        <f>Assumptions!$B$5</f>
        <v/>
      </c>
      <c r="C3" s="51">
        <f>Assumptions!$B$9</f>
        <v/>
      </c>
      <c r="D3" s="52">
        <f>C3/Assumptions!$B$11</f>
        <v/>
      </c>
      <c r="E3" s="50">
        <f>B3+D3</f>
        <v/>
      </c>
      <c r="F3" s="50">
        <f>E3+G3</f>
        <v/>
      </c>
      <c r="G3" s="50" t="n">
        <v>0</v>
      </c>
      <c r="H3" s="50">
        <f>E3*Assumptions!$B$14</f>
        <v/>
      </c>
      <c r="I3" s="50">
        <f>G3*Assumptions!$B$15</f>
        <v/>
      </c>
      <c r="J3" s="50">
        <f>G3+H3-I3</f>
        <v/>
      </c>
      <c r="K3" s="53">
        <f>AVERAGE(G3,J3)*(Assumptions!$B$18*(1-Assumptions!$B$20)+(Assumptions!$B$19/12)*Assumptions!$B$20)</f>
        <v/>
      </c>
      <c r="L3" s="53">
        <f>K3*Assumptions!$B$29</f>
        <v/>
      </c>
      <c r="M3" s="53">
        <f>K3-L3</f>
        <v/>
      </c>
      <c r="N3" s="53">
        <f>F3*Assumptions!$B$23+E3*Assumptions!$B$24</f>
        <v/>
      </c>
      <c r="O3" s="53">
        <f>Assumptions!$B$25+F3*Assumptions!$B$26</f>
        <v/>
      </c>
      <c r="P3" s="53">
        <f>N3+O3</f>
        <v/>
      </c>
      <c r="Q3" s="53">
        <f>M3-P3</f>
        <v/>
      </c>
      <c r="R3" s="54">
        <f>Assumptions!$B$33+Assumptions!$B$35+Assumptions!$B$36+Assumptions!$B$34</f>
        <v/>
      </c>
      <c r="S3" s="54">
        <f>Q3-R3</f>
        <v/>
      </c>
      <c r="T3" s="54">
        <f>MAX(0,S3)*Assumptions!$B$30</f>
        <v/>
      </c>
      <c r="U3" s="54">
        <f>S3-T3</f>
        <v/>
      </c>
      <c r="V3" s="54">
        <f>U3</f>
        <v/>
      </c>
      <c r="W3" s="51">
        <f>C3</f>
        <v/>
      </c>
    </row>
    <row r="4" ht="15" customHeight="1" s="27">
      <c r="A4" s="49" t="n">
        <v>2</v>
      </c>
      <c r="B4" s="50">
        <f>B3*(1+Assumptions!$B$6)</f>
        <v/>
      </c>
      <c r="C4" s="51">
        <f>C3*(1+Assumptions!$B$10)</f>
        <v/>
      </c>
      <c r="D4" s="52">
        <f>C4/Assumptions!$B$11</f>
        <v/>
      </c>
      <c r="E4" s="50">
        <f>B4+D4</f>
        <v/>
      </c>
      <c r="F4" s="50">
        <f>E4+G4</f>
        <v/>
      </c>
      <c r="G4" s="50">
        <f>J3</f>
        <v/>
      </c>
      <c r="H4" s="50">
        <f>E4*Assumptions!$B$14</f>
        <v/>
      </c>
      <c r="I4" s="50">
        <f>G4*Assumptions!$B$15</f>
        <v/>
      </c>
      <c r="J4" s="50">
        <f>G4+H4-I4</f>
        <v/>
      </c>
      <c r="K4" s="53">
        <f>AVERAGE(G4,J4)*(Assumptions!$B$18*(1-Assumptions!$B$20)+(Assumptions!$B$19/12)*Assumptions!$B$20)</f>
        <v/>
      </c>
      <c r="L4" s="53">
        <f>K4*Assumptions!$B$29</f>
        <v/>
      </c>
      <c r="M4" s="53">
        <f>K4-L4</f>
        <v/>
      </c>
      <c r="N4" s="53">
        <f>F4*Assumptions!$B$23+E4*Assumptions!$B$24</f>
        <v/>
      </c>
      <c r="O4" s="53">
        <f>Assumptions!$B$25+F4*Assumptions!$B$26</f>
        <v/>
      </c>
      <c r="P4" s="53">
        <f>N4+O4</f>
        <v/>
      </c>
      <c r="Q4" s="53">
        <f>M4-P4</f>
        <v/>
      </c>
      <c r="R4" s="54">
        <f>Assumptions!$B$33+Assumptions!$B$35+Assumptions!$B$36</f>
        <v/>
      </c>
      <c r="S4" s="54">
        <f>Q4-R4</f>
        <v/>
      </c>
      <c r="T4" s="54">
        <f>MAX(0,S4)*Assumptions!$B$30</f>
        <v/>
      </c>
      <c r="U4" s="54">
        <f>S4-T4</f>
        <v/>
      </c>
      <c r="V4" s="54">
        <f>V3+U4</f>
        <v/>
      </c>
      <c r="W4" s="51">
        <f>W3+C4</f>
        <v/>
      </c>
    </row>
    <row r="5" ht="15" customHeight="1" s="27">
      <c r="A5" s="49" t="n">
        <v>3</v>
      </c>
      <c r="B5" s="50">
        <f>B4*(1+Assumptions!$B$6)</f>
        <v/>
      </c>
      <c r="C5" s="51">
        <f>C4*(1+Assumptions!$B$10)</f>
        <v/>
      </c>
      <c r="D5" s="52">
        <f>C5/Assumptions!$B$11</f>
        <v/>
      </c>
      <c r="E5" s="50">
        <f>B5+D5</f>
        <v/>
      </c>
      <c r="F5" s="50">
        <f>E5+G5</f>
        <v/>
      </c>
      <c r="G5" s="50">
        <f>J4</f>
        <v/>
      </c>
      <c r="H5" s="50">
        <f>E5*Assumptions!$B$14</f>
        <v/>
      </c>
      <c r="I5" s="50">
        <f>G5*Assumptions!$B$15</f>
        <v/>
      </c>
      <c r="J5" s="50">
        <f>G5+H5-I5</f>
        <v/>
      </c>
      <c r="K5" s="53">
        <f>AVERAGE(G5,J5)*(Assumptions!$B$18*(1-Assumptions!$B$20)+(Assumptions!$B$19/12)*Assumptions!$B$20)</f>
        <v/>
      </c>
      <c r="L5" s="53">
        <f>K5*Assumptions!$B$29</f>
        <v/>
      </c>
      <c r="M5" s="53">
        <f>K5-L5</f>
        <v/>
      </c>
      <c r="N5" s="53">
        <f>F5*Assumptions!$B$23+E5*Assumptions!$B$24</f>
        <v/>
      </c>
      <c r="O5" s="53">
        <f>Assumptions!$B$25+F5*Assumptions!$B$26</f>
        <v/>
      </c>
      <c r="P5" s="53">
        <f>N5+O5</f>
        <v/>
      </c>
      <c r="Q5" s="53">
        <f>M5-P5</f>
        <v/>
      </c>
      <c r="R5" s="54">
        <f>Assumptions!$B$33+Assumptions!$B$35+Assumptions!$B$36</f>
        <v/>
      </c>
      <c r="S5" s="54">
        <f>Q5-R5</f>
        <v/>
      </c>
      <c r="T5" s="54">
        <f>MAX(0,S5)*Assumptions!$B$30</f>
        <v/>
      </c>
      <c r="U5" s="54">
        <f>S5-T5</f>
        <v/>
      </c>
      <c r="V5" s="54">
        <f>V4+U5</f>
        <v/>
      </c>
      <c r="W5" s="51">
        <f>W4+C5</f>
        <v/>
      </c>
    </row>
    <row r="6" ht="15" customHeight="1" s="27">
      <c r="A6" s="49" t="n">
        <v>4</v>
      </c>
      <c r="B6" s="50">
        <f>B5*(1+Assumptions!$B$6)</f>
        <v/>
      </c>
      <c r="C6" s="51">
        <f>C5*(1+Assumptions!$B$10)</f>
        <v/>
      </c>
      <c r="D6" s="52">
        <f>C6/Assumptions!$B$11</f>
        <v/>
      </c>
      <c r="E6" s="50">
        <f>B6+D6</f>
        <v/>
      </c>
      <c r="F6" s="50">
        <f>E6+G6</f>
        <v/>
      </c>
      <c r="G6" s="50">
        <f>J5</f>
        <v/>
      </c>
      <c r="H6" s="50">
        <f>E6*Assumptions!$B$14</f>
        <v/>
      </c>
      <c r="I6" s="50">
        <f>G6*Assumptions!$B$15</f>
        <v/>
      </c>
      <c r="J6" s="50">
        <f>G6+H6-I6</f>
        <v/>
      </c>
      <c r="K6" s="53">
        <f>AVERAGE(G6,J6)*(Assumptions!$B$18*(1-Assumptions!$B$20)+(Assumptions!$B$19/12)*Assumptions!$B$20)</f>
        <v/>
      </c>
      <c r="L6" s="53">
        <f>K6*Assumptions!$B$29</f>
        <v/>
      </c>
      <c r="M6" s="53">
        <f>K6-L6</f>
        <v/>
      </c>
      <c r="N6" s="53">
        <f>F6*Assumptions!$B$23+E6*Assumptions!$B$24</f>
        <v/>
      </c>
      <c r="O6" s="53">
        <f>Assumptions!$B$25+F6*Assumptions!$B$26</f>
        <v/>
      </c>
      <c r="P6" s="53">
        <f>N6+O6</f>
        <v/>
      </c>
      <c r="Q6" s="53">
        <f>M6-P6</f>
        <v/>
      </c>
      <c r="R6" s="54">
        <f>Assumptions!$B$33+Assumptions!$B$35+Assumptions!$B$36</f>
        <v/>
      </c>
      <c r="S6" s="54">
        <f>Q6-R6</f>
        <v/>
      </c>
      <c r="T6" s="54">
        <f>MAX(0,S6)*Assumptions!$B$30</f>
        <v/>
      </c>
      <c r="U6" s="54">
        <f>S6-T6</f>
        <v/>
      </c>
      <c r="V6" s="54">
        <f>V5+U6</f>
        <v/>
      </c>
      <c r="W6" s="51">
        <f>W5+C6</f>
        <v/>
      </c>
    </row>
    <row r="7" ht="15" customHeight="1" s="27">
      <c r="A7" s="49" t="n">
        <v>5</v>
      </c>
      <c r="B7" s="50">
        <f>B6*(1+Assumptions!$B$6)</f>
        <v/>
      </c>
      <c r="C7" s="51">
        <f>C6*(1+Assumptions!$B$10)</f>
        <v/>
      </c>
      <c r="D7" s="52">
        <f>C7/Assumptions!$B$11</f>
        <v/>
      </c>
      <c r="E7" s="50">
        <f>B7+D7</f>
        <v/>
      </c>
      <c r="F7" s="50">
        <f>E7+G7</f>
        <v/>
      </c>
      <c r="G7" s="50">
        <f>J6</f>
        <v/>
      </c>
      <c r="H7" s="50">
        <f>E7*Assumptions!$B$14</f>
        <v/>
      </c>
      <c r="I7" s="50">
        <f>G7*Assumptions!$B$15</f>
        <v/>
      </c>
      <c r="J7" s="50">
        <f>G7+H7-I7</f>
        <v/>
      </c>
      <c r="K7" s="53">
        <f>AVERAGE(G7,J7)*(Assumptions!$B$18*(1-Assumptions!$B$20)+(Assumptions!$B$19/12)*Assumptions!$B$20)</f>
        <v/>
      </c>
      <c r="L7" s="53">
        <f>K7*Assumptions!$B$29</f>
        <v/>
      </c>
      <c r="M7" s="53">
        <f>K7-L7</f>
        <v/>
      </c>
      <c r="N7" s="53">
        <f>F7*Assumptions!$B$23+E7*Assumptions!$B$24</f>
        <v/>
      </c>
      <c r="O7" s="53">
        <f>Assumptions!$B$25+F7*Assumptions!$B$26</f>
        <v/>
      </c>
      <c r="P7" s="53">
        <f>N7+O7</f>
        <v/>
      </c>
      <c r="Q7" s="53">
        <f>M7-P7</f>
        <v/>
      </c>
      <c r="R7" s="54">
        <f>Assumptions!$B$33+Assumptions!$B$35+Assumptions!$B$36</f>
        <v/>
      </c>
      <c r="S7" s="54">
        <f>Q7-R7</f>
        <v/>
      </c>
      <c r="T7" s="54">
        <f>MAX(0,S7)*Assumptions!$B$30</f>
        <v/>
      </c>
      <c r="U7" s="54">
        <f>S7-T7</f>
        <v/>
      </c>
      <c r="V7" s="54">
        <f>V6+U7</f>
        <v/>
      </c>
      <c r="W7" s="51">
        <f>W6+C7</f>
        <v/>
      </c>
    </row>
    <row r="8" ht="15" customHeight="1" s="27">
      <c r="A8" s="49" t="n">
        <v>6</v>
      </c>
      <c r="B8" s="50">
        <f>B7*(1+Assumptions!$B$6)</f>
        <v/>
      </c>
      <c r="C8" s="51">
        <f>C7*(1+Assumptions!$B$10)</f>
        <v/>
      </c>
      <c r="D8" s="52">
        <f>C8/Assumptions!$B$11</f>
        <v/>
      </c>
      <c r="E8" s="50">
        <f>B8+D8</f>
        <v/>
      </c>
      <c r="F8" s="50">
        <f>E8+G8</f>
        <v/>
      </c>
      <c r="G8" s="50">
        <f>J7</f>
        <v/>
      </c>
      <c r="H8" s="50">
        <f>E8*Assumptions!$B$14</f>
        <v/>
      </c>
      <c r="I8" s="50">
        <f>G8*Assumptions!$B$15</f>
        <v/>
      </c>
      <c r="J8" s="50">
        <f>G8+H8-I8</f>
        <v/>
      </c>
      <c r="K8" s="53">
        <f>AVERAGE(G8,J8)*(Assumptions!$B$18*(1-Assumptions!$B$20)+(Assumptions!$B$19/12)*Assumptions!$B$20)</f>
        <v/>
      </c>
      <c r="L8" s="53">
        <f>K8*Assumptions!$B$29</f>
        <v/>
      </c>
      <c r="M8" s="53">
        <f>K8-L8</f>
        <v/>
      </c>
      <c r="N8" s="53">
        <f>F8*Assumptions!$B$23+E8*Assumptions!$B$24</f>
        <v/>
      </c>
      <c r="O8" s="53">
        <f>Assumptions!$B$25+F8*Assumptions!$B$26</f>
        <v/>
      </c>
      <c r="P8" s="53">
        <f>N8+O8</f>
        <v/>
      </c>
      <c r="Q8" s="53">
        <f>M8-P8</f>
        <v/>
      </c>
      <c r="R8" s="54">
        <f>Assumptions!$B$33+Assumptions!$B$35+Assumptions!$B$36</f>
        <v/>
      </c>
      <c r="S8" s="54">
        <f>Q8-R8</f>
        <v/>
      </c>
      <c r="T8" s="54">
        <f>MAX(0,S8)*Assumptions!$B$30</f>
        <v/>
      </c>
      <c r="U8" s="54">
        <f>S8-T8</f>
        <v/>
      </c>
      <c r="V8" s="54">
        <f>V7+U8</f>
        <v/>
      </c>
      <c r="W8" s="51">
        <f>W7+C8</f>
        <v/>
      </c>
    </row>
    <row r="9" ht="15" customHeight="1" s="27">
      <c r="A9" s="49" t="n">
        <v>7</v>
      </c>
      <c r="B9" s="50">
        <f>B8*(1+Assumptions!$B$6)</f>
        <v/>
      </c>
      <c r="C9" s="51">
        <f>C8*(1+Assumptions!$B$10)</f>
        <v/>
      </c>
      <c r="D9" s="52">
        <f>C9/Assumptions!$B$11</f>
        <v/>
      </c>
      <c r="E9" s="50">
        <f>B9+D9</f>
        <v/>
      </c>
      <c r="F9" s="50">
        <f>E9+G9</f>
        <v/>
      </c>
      <c r="G9" s="50">
        <f>J8</f>
        <v/>
      </c>
      <c r="H9" s="50">
        <f>E9*Assumptions!$B$14</f>
        <v/>
      </c>
      <c r="I9" s="50">
        <f>G9*Assumptions!$B$15</f>
        <v/>
      </c>
      <c r="J9" s="50">
        <f>G9+H9-I9</f>
        <v/>
      </c>
      <c r="K9" s="53">
        <f>AVERAGE(G9,J9)*(Assumptions!$B$18*(1-Assumptions!$B$20)+(Assumptions!$B$19/12)*Assumptions!$B$20)</f>
        <v/>
      </c>
      <c r="L9" s="53">
        <f>K9*Assumptions!$B$29</f>
        <v/>
      </c>
      <c r="M9" s="53">
        <f>K9-L9</f>
        <v/>
      </c>
      <c r="N9" s="53">
        <f>F9*Assumptions!$B$23+E9*Assumptions!$B$24</f>
        <v/>
      </c>
      <c r="O9" s="53">
        <f>Assumptions!$B$25+F9*Assumptions!$B$26</f>
        <v/>
      </c>
      <c r="P9" s="53">
        <f>N9+O9</f>
        <v/>
      </c>
      <c r="Q9" s="53">
        <f>M9-P9</f>
        <v/>
      </c>
      <c r="R9" s="54">
        <f>Assumptions!$B$33+Assumptions!$B$35+Assumptions!$B$36</f>
        <v/>
      </c>
      <c r="S9" s="54">
        <f>Q9-R9</f>
        <v/>
      </c>
      <c r="T9" s="54">
        <f>MAX(0,S9)*Assumptions!$B$30</f>
        <v/>
      </c>
      <c r="U9" s="54">
        <f>S9-T9</f>
        <v/>
      </c>
      <c r="V9" s="54">
        <f>V8+U9</f>
        <v/>
      </c>
      <c r="W9" s="51">
        <f>W8+C9</f>
        <v/>
      </c>
    </row>
    <row r="10" ht="15" customHeight="1" s="27">
      <c r="A10" s="49" t="n">
        <v>8</v>
      </c>
      <c r="B10" s="50">
        <f>B9*(1+Assumptions!$B$6)</f>
        <v/>
      </c>
      <c r="C10" s="51">
        <f>C9*(1+Assumptions!$B$10)</f>
        <v/>
      </c>
      <c r="D10" s="52">
        <f>C10/Assumptions!$B$11</f>
        <v/>
      </c>
      <c r="E10" s="50">
        <f>B10+D10</f>
        <v/>
      </c>
      <c r="F10" s="50">
        <f>E10+G10</f>
        <v/>
      </c>
      <c r="G10" s="50">
        <f>J9</f>
        <v/>
      </c>
      <c r="H10" s="50">
        <f>E10*Assumptions!$B$14</f>
        <v/>
      </c>
      <c r="I10" s="50">
        <f>G10*Assumptions!$B$15</f>
        <v/>
      </c>
      <c r="J10" s="50">
        <f>G10+H10-I10</f>
        <v/>
      </c>
      <c r="K10" s="53">
        <f>AVERAGE(G10,J10)*(Assumptions!$B$18*(1-Assumptions!$B$20)+(Assumptions!$B$19/12)*Assumptions!$B$20)</f>
        <v/>
      </c>
      <c r="L10" s="53">
        <f>K10*Assumptions!$B$29</f>
        <v/>
      </c>
      <c r="M10" s="53">
        <f>K10-L10</f>
        <v/>
      </c>
      <c r="N10" s="53">
        <f>F10*Assumptions!$B$23+E10*Assumptions!$B$24</f>
        <v/>
      </c>
      <c r="O10" s="53">
        <f>Assumptions!$B$25+F10*Assumptions!$B$26</f>
        <v/>
      </c>
      <c r="P10" s="53">
        <f>N10+O10</f>
        <v/>
      </c>
      <c r="Q10" s="53">
        <f>M10-P10</f>
        <v/>
      </c>
      <c r="R10" s="54">
        <f>Assumptions!$B$33+Assumptions!$B$35+Assumptions!$B$36</f>
        <v/>
      </c>
      <c r="S10" s="54">
        <f>Q10-R10</f>
        <v/>
      </c>
      <c r="T10" s="54">
        <f>MAX(0,S10)*Assumptions!$B$30</f>
        <v/>
      </c>
      <c r="U10" s="54">
        <f>S10-T10</f>
        <v/>
      </c>
      <c r="V10" s="54">
        <f>V9+U10</f>
        <v/>
      </c>
      <c r="W10" s="51">
        <f>W9+C10</f>
        <v/>
      </c>
    </row>
    <row r="11" ht="15" customHeight="1" s="27">
      <c r="A11" s="49" t="n">
        <v>9</v>
      </c>
      <c r="B11" s="50">
        <f>B10*(1+Assumptions!$B$6)</f>
        <v/>
      </c>
      <c r="C11" s="51">
        <f>C10*(1+Assumptions!$B$10)</f>
        <v/>
      </c>
      <c r="D11" s="52">
        <f>C11/Assumptions!$B$11</f>
        <v/>
      </c>
      <c r="E11" s="50">
        <f>B11+D11</f>
        <v/>
      </c>
      <c r="F11" s="50">
        <f>E11+G11</f>
        <v/>
      </c>
      <c r="G11" s="50">
        <f>J10</f>
        <v/>
      </c>
      <c r="H11" s="50">
        <f>E11*Assumptions!$B$14</f>
        <v/>
      </c>
      <c r="I11" s="50">
        <f>G11*Assumptions!$B$15</f>
        <v/>
      </c>
      <c r="J11" s="50">
        <f>G11+H11-I11</f>
        <v/>
      </c>
      <c r="K11" s="53">
        <f>AVERAGE(G11,J11)*(Assumptions!$B$18*(1-Assumptions!$B$20)+(Assumptions!$B$19/12)*Assumptions!$B$20)</f>
        <v/>
      </c>
      <c r="L11" s="53">
        <f>K11*Assumptions!$B$29</f>
        <v/>
      </c>
      <c r="M11" s="53">
        <f>K11-L11</f>
        <v/>
      </c>
      <c r="N11" s="53">
        <f>F11*Assumptions!$B$23+E11*Assumptions!$B$24</f>
        <v/>
      </c>
      <c r="O11" s="53">
        <f>Assumptions!$B$25+F11*Assumptions!$B$26</f>
        <v/>
      </c>
      <c r="P11" s="53">
        <f>N11+O11</f>
        <v/>
      </c>
      <c r="Q11" s="53">
        <f>M11-P11</f>
        <v/>
      </c>
      <c r="R11" s="54">
        <f>Assumptions!$B$33+Assumptions!$B$35+Assumptions!$B$36</f>
        <v/>
      </c>
      <c r="S11" s="54">
        <f>Q11-R11</f>
        <v/>
      </c>
      <c r="T11" s="54">
        <f>MAX(0,S11)*Assumptions!$B$30</f>
        <v/>
      </c>
      <c r="U11" s="54">
        <f>S11-T11</f>
        <v/>
      </c>
      <c r="V11" s="54">
        <f>V10+U11</f>
        <v/>
      </c>
      <c r="W11" s="51">
        <f>W10+C11</f>
        <v/>
      </c>
    </row>
    <row r="12" ht="15" customHeight="1" s="27">
      <c r="A12" s="49" t="n">
        <v>10</v>
      </c>
      <c r="B12" s="50">
        <f>B11*(1+Assumptions!$B$6)</f>
        <v/>
      </c>
      <c r="C12" s="51">
        <f>C11*(1+Assumptions!$B$10)</f>
        <v/>
      </c>
      <c r="D12" s="52">
        <f>C12/Assumptions!$B$11</f>
        <v/>
      </c>
      <c r="E12" s="50">
        <f>B12+D12</f>
        <v/>
      </c>
      <c r="F12" s="50">
        <f>E12+G12</f>
        <v/>
      </c>
      <c r="G12" s="50">
        <f>J11</f>
        <v/>
      </c>
      <c r="H12" s="50">
        <f>E12*Assumptions!$B$14</f>
        <v/>
      </c>
      <c r="I12" s="50">
        <f>G12*Assumptions!$B$15</f>
        <v/>
      </c>
      <c r="J12" s="50">
        <f>G12+H12-I12</f>
        <v/>
      </c>
      <c r="K12" s="53">
        <f>AVERAGE(G12,J12)*(Assumptions!$B$18*(1-Assumptions!$B$20)+(Assumptions!$B$19/12)*Assumptions!$B$20)</f>
        <v/>
      </c>
      <c r="L12" s="53">
        <f>K12*Assumptions!$B$29</f>
        <v/>
      </c>
      <c r="M12" s="53">
        <f>K12-L12</f>
        <v/>
      </c>
      <c r="N12" s="53">
        <f>F12*Assumptions!$B$23+E12*Assumptions!$B$24</f>
        <v/>
      </c>
      <c r="O12" s="53">
        <f>Assumptions!$B$25+F12*Assumptions!$B$26</f>
        <v/>
      </c>
      <c r="P12" s="53">
        <f>N12+O12</f>
        <v/>
      </c>
      <c r="Q12" s="53">
        <f>M12-P12</f>
        <v/>
      </c>
      <c r="R12" s="54">
        <f>Assumptions!$B$33+Assumptions!$B$35+Assumptions!$B$36</f>
        <v/>
      </c>
      <c r="S12" s="54">
        <f>Q12-R12</f>
        <v/>
      </c>
      <c r="T12" s="54">
        <f>MAX(0,S12)*Assumptions!$B$30</f>
        <v/>
      </c>
      <c r="U12" s="54">
        <f>S12-T12</f>
        <v/>
      </c>
      <c r="V12" s="54">
        <f>V11+U12</f>
        <v/>
      </c>
      <c r="W12" s="51">
        <f>W11+C12</f>
        <v/>
      </c>
    </row>
    <row r="13" ht="15" customHeight="1" s="27">
      <c r="A13" s="49" t="n">
        <v>11</v>
      </c>
      <c r="B13" s="50">
        <f>B12*(1+Assumptions!$B$6)</f>
        <v/>
      </c>
      <c r="C13" s="51">
        <f>C12*(1+Assumptions!$B$10)</f>
        <v/>
      </c>
      <c r="D13" s="52">
        <f>C13/Assumptions!$B$11</f>
        <v/>
      </c>
      <c r="E13" s="50">
        <f>B13+D13</f>
        <v/>
      </c>
      <c r="F13" s="50">
        <f>E13+G13</f>
        <v/>
      </c>
      <c r="G13" s="50">
        <f>J12</f>
        <v/>
      </c>
      <c r="H13" s="50">
        <f>E13*Assumptions!$B$14</f>
        <v/>
      </c>
      <c r="I13" s="50">
        <f>G13*Assumptions!$B$15</f>
        <v/>
      </c>
      <c r="J13" s="50">
        <f>G13+H13-I13</f>
        <v/>
      </c>
      <c r="K13" s="53">
        <f>AVERAGE(G13,J13)*(Assumptions!$B$18*(1-Assumptions!$B$20)+(Assumptions!$B$19/12)*Assumptions!$B$20)</f>
        <v/>
      </c>
      <c r="L13" s="53">
        <f>K13*Assumptions!$B$29</f>
        <v/>
      </c>
      <c r="M13" s="53">
        <f>K13-L13</f>
        <v/>
      </c>
      <c r="N13" s="53">
        <f>F13*Assumptions!$B$23+E13*Assumptions!$B$24</f>
        <v/>
      </c>
      <c r="O13" s="53">
        <f>Assumptions!$B$25+F13*Assumptions!$B$26</f>
        <v/>
      </c>
      <c r="P13" s="53">
        <f>N13+O13</f>
        <v/>
      </c>
      <c r="Q13" s="53">
        <f>M13-P13</f>
        <v/>
      </c>
      <c r="R13" s="54">
        <f>Assumptions!$B$33+Assumptions!$B$35+Assumptions!$B$36</f>
        <v/>
      </c>
      <c r="S13" s="54">
        <f>Q13-R13</f>
        <v/>
      </c>
      <c r="T13" s="54">
        <f>MAX(0,S13)*Assumptions!$B$30</f>
        <v/>
      </c>
      <c r="U13" s="54">
        <f>S13-T13</f>
        <v/>
      </c>
      <c r="V13" s="54">
        <f>V12+U13</f>
        <v/>
      </c>
      <c r="W13" s="51">
        <f>W12+C13</f>
        <v/>
      </c>
    </row>
    <row r="14" ht="15" customHeight="1" s="27">
      <c r="A14" s="49" t="n">
        <v>12</v>
      </c>
      <c r="B14" s="50">
        <f>B13*(1+Assumptions!$B$6)</f>
        <v/>
      </c>
      <c r="C14" s="51">
        <f>C13*(1+Assumptions!$B$10)</f>
        <v/>
      </c>
      <c r="D14" s="52">
        <f>C14/Assumptions!$B$11</f>
        <v/>
      </c>
      <c r="E14" s="50">
        <f>B14+D14</f>
        <v/>
      </c>
      <c r="F14" s="50">
        <f>E14+G14</f>
        <v/>
      </c>
      <c r="G14" s="50">
        <f>J13</f>
        <v/>
      </c>
      <c r="H14" s="50">
        <f>E14*Assumptions!$B$14</f>
        <v/>
      </c>
      <c r="I14" s="50">
        <f>G14*Assumptions!$B$15</f>
        <v/>
      </c>
      <c r="J14" s="50">
        <f>G14+H14-I14</f>
        <v/>
      </c>
      <c r="K14" s="53">
        <f>AVERAGE(G14,J14)*(Assumptions!$B$18*(1-Assumptions!$B$20)+(Assumptions!$B$19/12)*Assumptions!$B$20)</f>
        <v/>
      </c>
      <c r="L14" s="53">
        <f>K14*Assumptions!$B$29</f>
        <v/>
      </c>
      <c r="M14" s="53">
        <f>K14-L14</f>
        <v/>
      </c>
      <c r="N14" s="53">
        <f>F14*Assumptions!$B$23+E14*Assumptions!$B$24</f>
        <v/>
      </c>
      <c r="O14" s="53">
        <f>Assumptions!$B$25+F14*Assumptions!$B$26</f>
        <v/>
      </c>
      <c r="P14" s="53">
        <f>N14+O14</f>
        <v/>
      </c>
      <c r="Q14" s="53">
        <f>M14-P14</f>
        <v/>
      </c>
      <c r="R14" s="54">
        <f>Assumptions!$B$33+Assumptions!$B$35+Assumptions!$B$36</f>
        <v/>
      </c>
      <c r="S14" s="54">
        <f>Q14-R14</f>
        <v/>
      </c>
      <c r="T14" s="54">
        <f>MAX(0,S14)*Assumptions!$B$30</f>
        <v/>
      </c>
      <c r="U14" s="54">
        <f>S14-T14</f>
        <v/>
      </c>
      <c r="V14" s="54">
        <f>V13+U14</f>
        <v/>
      </c>
      <c r="W14" s="51">
        <f>W13+C14</f>
        <v/>
      </c>
    </row>
    <row r="16" ht="15" customHeight="1" s="27">
      <c r="A16" s="55" t="inlineStr">
        <is>
          <t>YEAR 1 TOTAL</t>
        </is>
      </c>
      <c r="B16" s="56">
        <f>SUM(B3:B14)</f>
        <v/>
      </c>
      <c r="C16" s="57">
        <f>SUM(C3:C14)</f>
        <v/>
      </c>
      <c r="D16" s="56">
        <f>SUM(D3:D14)</f>
        <v/>
      </c>
      <c r="E16" s="56">
        <f>SUM(E3:E14)</f>
        <v/>
      </c>
      <c r="K16" s="57">
        <f>SUM(K3:K14)</f>
        <v/>
      </c>
      <c r="L16" s="57">
        <f>SUM(L3:L14)</f>
        <v/>
      </c>
      <c r="M16" s="57">
        <f>SUM(M3:M14)</f>
        <v/>
      </c>
      <c r="N16" s="57">
        <f>SUM(N3:N14)</f>
        <v/>
      </c>
      <c r="O16" s="57">
        <f>SUM(O3:O14)</f>
        <v/>
      </c>
      <c r="P16" s="57">
        <f>SUM(P3:P14)</f>
        <v/>
      </c>
      <c r="Q16" s="57">
        <f>SUM(Q3:Q14)</f>
        <v/>
      </c>
      <c r="R16" s="57">
        <f>SUM(R3:R14)</f>
        <v/>
      </c>
      <c r="S16" s="57">
        <f>SUM(S3:S14)</f>
        <v/>
      </c>
      <c r="T16" s="57">
        <f>SUM(T3:T14)</f>
        <v/>
      </c>
      <c r="U16" s="57">
        <f>SUM(U3:U14)</f>
        <v/>
      </c>
      <c r="V16" s="57">
        <f>V14</f>
        <v/>
      </c>
      <c r="W16" s="57">
        <f>W14</f>
        <v/>
      </c>
    </row>
  </sheetData>
  <mergeCells count="1">
    <mergeCell ref="A1:W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8" customWidth="1" style="26" min="1" max="1"/>
    <col width="18" customWidth="1" style="26" min="2" max="2"/>
    <col width="60" customWidth="1" style="26" min="3" max="3"/>
  </cols>
  <sheetData>
    <row r="1" ht="17.35" customHeight="1" s="27">
      <c r="A1" s="28" t="inlineStr">
        <is>
          <t>V-Tempe — Year 1 Summary (v3): Operating Profit vs Investor-Funded Growth</t>
        </is>
      </c>
    </row>
    <row r="3" ht="15" customHeight="1" s="27">
      <c r="A3" s="30" t="inlineStr">
        <is>
          <t>REVENUE &amp; AUDIENCE</t>
        </is>
      </c>
      <c r="B3" s="31" t="n"/>
      <c r="C3" s="31" t="n"/>
    </row>
    <row r="4" ht="15" customHeight="1" s="27">
      <c r="A4" s="32" t="inlineStr">
        <is>
          <t>Total new installs (Year 1)</t>
        </is>
      </c>
      <c r="B4" s="58">
        <f>'Monthly Model'!E16</f>
        <v/>
      </c>
      <c r="C4" s="29" t="n"/>
    </row>
    <row r="5" ht="15" customHeight="1" s="27">
      <c r="A5" s="32" t="inlineStr">
        <is>
          <t xml:space="preserve">  of which paid (investor-marketing-driven)</t>
        </is>
      </c>
      <c r="B5" s="58">
        <f>'Monthly Model'!D16</f>
        <v/>
      </c>
      <c r="C5" s="29" t="n"/>
    </row>
    <row r="6" ht="15" customHeight="1" s="27">
      <c r="A6" s="32" t="inlineStr">
        <is>
          <t>Paying subscribers (Month 12, ending)</t>
        </is>
      </c>
      <c r="B6" s="58">
        <f>'Monthly Model'!J14</f>
        <v/>
      </c>
      <c r="C6" s="29" t="n"/>
    </row>
    <row r="7" ht="15" customHeight="1" s="27">
      <c r="A7" s="32" t="inlineStr">
        <is>
          <t>Exit ARR (annualized, Month 12)</t>
        </is>
      </c>
      <c r="B7" s="59">
        <f>'Monthly Model'!K14*12</f>
        <v/>
      </c>
      <c r="C7" s="29" t="n"/>
    </row>
    <row r="8" ht="15" customHeight="1" s="27">
      <c r="A8" s="32" t="inlineStr">
        <is>
          <t>Year 1 gross revenue</t>
        </is>
      </c>
      <c r="B8" s="59">
        <f>'Monthly Model'!K16</f>
        <v/>
      </c>
      <c r="C8" s="29" t="n"/>
    </row>
    <row r="10" ht="15" customHeight="1" s="27">
      <c r="A10" s="30" t="inlineStr">
        <is>
          <t>YOUR OWN ECONOMICS — OPERATING PROFIT (excl. investor marketing)</t>
        </is>
      </c>
      <c r="B10" s="31" t="n"/>
      <c r="C10" s="31" t="n"/>
    </row>
    <row r="11" ht="15" customHeight="1" s="27">
      <c r="A11" s="32" t="inlineStr">
        <is>
          <t>Year 1 operating profit (self-funded, excl. marketing)</t>
        </is>
      </c>
      <c r="B11" s="59">
        <f>'Monthly Model'!V14</f>
        <v/>
      </c>
      <c r="C11" s="29" t="n"/>
    </row>
    <row r="12" ht="15" customHeight="1" s="27">
      <c r="A12" s="32" t="inlineStr">
        <is>
          <t>First month operating profit turns positive</t>
        </is>
      </c>
      <c r="B12" s="58">
        <f>IFERROR(INDEX('Monthly Model'!A3:A14,MATCH(TRUE(),INDEX('Monthly Model'!U3:U14&gt;0,0),0)),"not within 12 months")</f>
        <v/>
      </c>
      <c r="C12" s="29" t="inlineStr">
        <is>
          <t>First month with a positive Operating Profit for that single month</t>
        </is>
      </c>
    </row>
    <row r="13" ht="15" customHeight="1" s="27">
      <c r="A13" s="32" t="inlineStr">
        <is>
          <t>First month cumulative operating profit turns positive</t>
        </is>
      </c>
      <c r="B13" s="58">
        <f>IFERROR(INDEX('Monthly Model'!A3:A14,MATCH(TRUE(),INDEX('Monthly Model'!V3:V14&gt;0,0),0)),"not within 12 months")</f>
        <v/>
      </c>
      <c r="C13" s="29" t="inlineStr">
        <is>
          <t>The product pays back its own Month-1 losses by this month — regardless of how aggressive the investor-funded marketing spend is</t>
        </is>
      </c>
    </row>
    <row r="15" ht="15" customHeight="1" s="27">
      <c r="A15" s="30" t="inlineStr">
        <is>
          <t>INVESTOR MARKETING — CAPITAL DEPLOYED &amp; RETURN</t>
        </is>
      </c>
      <c r="B15" s="31" t="n"/>
      <c r="C15" s="31" t="n"/>
    </row>
    <row r="16" ht="15" customHeight="1" s="27">
      <c r="A16" s="32" t="inlineStr">
        <is>
          <t>Year 1 total marketing spend (investor capital deployed)</t>
        </is>
      </c>
      <c r="B16" s="59">
        <f>'Monthly Model'!W14</f>
        <v/>
      </c>
      <c r="C16" s="29" t="n"/>
    </row>
    <row r="17" ht="15" customHeight="1" s="27">
      <c r="A17" s="32" t="inlineStr">
        <is>
          <t>Blended CAC (CPI / conversion rate)</t>
        </is>
      </c>
      <c r="B17" s="60">
        <f>Assumptions!$B$11/Assumptions!$B$14</f>
        <v/>
      </c>
      <c r="C17" s="29" t="inlineStr">
        <is>
          <t>Cost to acquire one paying subscriber via paid marketing</t>
        </is>
      </c>
    </row>
    <row r="18" ht="15" customHeight="1" s="27">
      <c r="A18" s="32" t="inlineStr">
        <is>
          <t>Gross profit per subscriber / month</t>
        </is>
      </c>
      <c r="B18" s="60">
        <f>(((Assumptions!$B$18*(1-Assumptions!$B$20)+(Assumptions!$B$19/12)*Assumptions!$B$20)*(1-Assumptions!$B$29))-(Assumptions!$B$23+Assumptions!$B$26))</f>
        <v/>
      </c>
      <c r="C18" s="29" t="inlineStr">
        <is>
          <t>Net revenue per subscriber (after store commission) minus variable COGS — the margin that pays back CAC</t>
        </is>
      </c>
    </row>
    <row r="19" ht="15" customHeight="1" s="27">
      <c r="A19" s="32" t="inlineStr">
        <is>
          <t>CAC payback period (months)</t>
        </is>
      </c>
      <c r="B19" s="61">
        <f>B17/B18</f>
        <v/>
      </c>
      <c r="C19" s="29" t="inlineStr">
        <is>
          <t>Months of subscriber margin needed to recover the acquisition cost. Under 12 months is healthy for consumer subscription; under 6 is excellent.</t>
        </is>
      </c>
    </row>
    <row r="20" ht="15" customHeight="1" s="27">
      <c r="A20" s="32" t="inlineStr">
        <is>
          <t>Contribution-margin LTV per subscriber</t>
        </is>
      </c>
      <c r="B20" s="60">
        <f>(((Assumptions!$B$18*(1-Assumptions!$B$20)+(Assumptions!$B$19/12)*Assumptions!$B$20)*(1-Assumptions!$B$29))-(Assumptions!$B$23+Assumptions!$B$26))/Assumptions!$B$15</f>
        <v/>
      </c>
      <c r="C20" s="29" t="inlineStr">
        <is>
          <t>Gross-profit-per-month ÷ churn rate — the conservative LTV investors actually look at (nets out COGS, not just revenue)</t>
        </is>
      </c>
    </row>
    <row r="21" ht="15" customHeight="1" s="27">
      <c r="A21" s="32" t="inlineStr">
        <is>
          <t>LTV : CAC ratio</t>
        </is>
      </c>
      <c r="B21" s="62">
        <f>B20/B17</f>
        <v/>
      </c>
      <c r="C21" s="29" t="inlineStr">
        <is>
          <t>Healthy SaaS/subscription benchmark is ≥3x. This is what justifies scaling the investor marketing budget.</t>
        </is>
      </c>
    </row>
    <row r="23" ht="15" customHeight="1" s="27">
      <c r="A23" s="29" t="inlineStr">
        <is>
          <t>Reading this model: the product is expected to be self-sustaining on its own (green columns in Monthly Model) well within Year 1,</t>
        </is>
      </c>
    </row>
    <row r="24" ht="15" customHeight="1" s="27">
      <c r="A24" s="29" t="inlineStr">
        <is>
          <t>independent of how aggressively the investor marketing budget (orange columns) scales — that spend is evaluated on CAC payback and LTV:CAC, not on whether it fits inside the product's own cash flow.</t>
        </is>
      </c>
    </row>
    <row r="25" ht="15" customHeight="1" s="27">
      <c r="A25" s="29" t="inlineStr">
        <is>
          <t>If CAC payback lengthens or LTV:CAC drops below ~3x as you scale spend (diminishing returns on ad channels), pull back — that's the signal, not the P&amp;L line alone.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2026-07-11T17:08:02Z</dcterms:created>
  <dcterms:modified xmlns:dcterms="http://purl.org/dc/terms/" xmlns:xsi="http://www.w3.org/2001/XMLSchema-instance" xsi:type="dcterms:W3CDTF">2026-07-11T17:09:08Z</dcterms:modified>
  <cp:revision>0</cp:revision>
</cp:coreProperties>
</file>